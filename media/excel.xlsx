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147AB199-EC68-403A-82D8-92631A5FBA2D}" xr6:coauthVersionLast="37" xr6:coauthVersionMax="37" xr10:uidLastSave="{00000000-0000-0000-0000-000000000000}"/>
  <bookViews>
    <workbookView xWindow="7305" yWindow="3480" windowWidth="17280" windowHeight="897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2" i="2" l="1"/>
  <c r="G52" i="1"/>
  <c r="D21" i="13" l="1"/>
  <c r="D20" i="13"/>
  <c r="D19" i="13"/>
  <c r="D18" i="13"/>
  <c r="E107" i="7"/>
  <c r="E106" i="7"/>
  <c r="E105" i="7"/>
  <c r="E104" i="7"/>
  <c r="E103" i="7"/>
  <c r="E102" i="7"/>
  <c r="E101" i="7"/>
  <c r="E100" i="7"/>
  <c r="E99" i="7"/>
  <c r="E98" i="7"/>
  <c r="E97" i="7"/>
  <c r="E40" i="7"/>
  <c r="E39" i="7"/>
  <c r="E38" i="7"/>
  <c r="E37" i="7"/>
  <c r="E36" i="7"/>
  <c r="E35" i="7"/>
  <c r="E34" i="7"/>
  <c r="E33" i="7"/>
  <c r="E32" i="7"/>
  <c r="E31" i="7"/>
  <c r="E59" i="7"/>
  <c r="E58" i="7"/>
  <c r="E57" i="7"/>
  <c r="E56" i="7"/>
  <c r="E55" i="7"/>
  <c r="D17" i="13" l="1"/>
  <c r="D16" i="13"/>
  <c r="D15" i="13"/>
  <c r="D14" i="13"/>
  <c r="D3" i="13" l="1"/>
  <c r="D4" i="13"/>
  <c r="D5" i="13"/>
  <c r="D6" i="13"/>
  <c r="D7" i="13"/>
  <c r="D8" i="13"/>
  <c r="D9" i="13"/>
  <c r="D10" i="13"/>
  <c r="D11" i="13"/>
  <c r="D12" i="13"/>
  <c r="D13" i="13"/>
  <c r="D2" i="13"/>
  <c r="C22" i="13"/>
  <c r="D22" i="13" l="1"/>
  <c r="E3" i="10" s="1"/>
  <c r="E13" i="10"/>
  <c r="E21" i="10"/>
  <c r="E4" i="10"/>
  <c r="E12" i="10"/>
  <c r="E20" i="10"/>
  <c r="B168" i="11"/>
  <c r="B108" i="11"/>
  <c r="E24" i="10" l="1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17" i="5"/>
  <c r="D27" i="10" l="1"/>
  <c r="E85" i="7"/>
  <c r="E84" i="7"/>
  <c r="E83" i="7"/>
  <c r="E88" i="7"/>
  <c r="E87" i="7"/>
  <c r="E86" i="7"/>
  <c r="E82" i="7"/>
  <c r="E81" i="7"/>
  <c r="E80" i="7"/>
  <c r="E69" i="7"/>
  <c r="E70" i="7"/>
  <c r="E71" i="7"/>
  <c r="E72" i="7"/>
  <c r="E73" i="7"/>
  <c r="E74" i="7"/>
  <c r="E75" i="7"/>
  <c r="E76" i="7"/>
  <c r="E77" i="7"/>
  <c r="E78" i="7"/>
  <c r="E79" i="7"/>
  <c r="E89" i="7"/>
  <c r="E90" i="7"/>
  <c r="E91" i="7"/>
  <c r="E92" i="7"/>
  <c r="E93" i="7"/>
  <c r="E94" i="7"/>
  <c r="E95" i="7"/>
  <c r="E96" i="7"/>
  <c r="E68" i="7"/>
  <c r="E46" i="7"/>
  <c r="E47" i="7"/>
  <c r="E48" i="7"/>
  <c r="E49" i="7"/>
  <c r="E50" i="7"/>
  <c r="E51" i="7"/>
  <c r="E52" i="7"/>
  <c r="E53" i="7"/>
  <c r="E54" i="7"/>
  <c r="E60" i="7"/>
  <c r="E61" i="7"/>
  <c r="E62" i="7"/>
  <c r="E63" i="7"/>
  <c r="E64" i="7"/>
  <c r="E45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41" i="7"/>
  <c r="E2" i="7"/>
  <c r="A1" i="2"/>
  <c r="E65" i="7" l="1"/>
  <c r="I2" i="7" s="1"/>
  <c r="E108" i="7"/>
  <c r="J2" i="7" s="1"/>
  <c r="E42" i="7"/>
  <c r="H2" i="7" s="1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K2" i="7"/>
  <c r="L2" i="7"/>
  <c r="M2" i="7" s="1"/>
  <c r="C168" i="11" l="1"/>
  <c r="C108" i="11"/>
  <c r="C23" i="11"/>
  <c r="F11" i="12" l="1"/>
  <c r="F13" i="12" s="1"/>
  <c r="F15" i="12" s="1"/>
  <c r="F17" i="12" s="1"/>
  <c r="F19" i="12" s="1"/>
  <c r="F21" i="12" s="1"/>
  <c r="F23" i="12" s="1"/>
  <c r="F25" i="12" s="1"/>
  <c r="E11" i="12"/>
  <c r="E13" i="12" s="1"/>
  <c r="D11" i="12"/>
  <c r="D13" i="12" s="1"/>
  <c r="C11" i="12"/>
  <c r="C13" i="12" s="1"/>
  <c r="C15" i="12" l="1"/>
  <c r="E15" i="12"/>
  <c r="D15" i="12"/>
  <c r="D17" i="12" l="1"/>
  <c r="E17" i="12"/>
  <c r="C17" i="12"/>
  <c r="C19" i="12" l="1"/>
  <c r="E19" i="12"/>
  <c r="D19" i="12"/>
  <c r="D21" i="12" l="1"/>
  <c r="E21" i="12"/>
  <c r="C21" i="12"/>
  <c r="C23" i="12" l="1"/>
  <c r="C25" i="12" s="1"/>
  <c r="E23" i="12"/>
  <c r="E25" i="12" s="1"/>
  <c r="D23" i="12"/>
  <c r="D25" i="12" s="1"/>
  <c r="C26" i="12" l="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" i="1"/>
  <c r="D41" i="1" s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L13" i="3" s="1"/>
  <c r="H41" i="2"/>
  <c r="B11" i="3"/>
  <c r="L23" i="3" s="1"/>
  <c r="J52" i="2"/>
  <c r="J54" i="2" s="1"/>
  <c r="D41" i="2"/>
  <c r="H41" i="1"/>
</calcChain>
</file>

<file path=xl/sharedStrings.xml><?xml version="1.0" encoding="utf-8"?>
<sst xmlns="http://schemas.openxmlformats.org/spreadsheetml/2006/main" count="526" uniqueCount="370">
  <si>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</si>
  <si>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</si>
  <si>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</si>
  <si>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</si>
  <si>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</si>
  <si>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</si>
  <si>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</si>
  <si>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</si>
  <si>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</si>
  <si>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</si>
  <si>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</si>
  <si>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</si>
  <si>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</si>
  <si>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</si>
  <si>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</si>
  <si>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</si>
  <si>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</si>
  <si>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</si>
  <si>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</si>
  <si>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</si>
  <si>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</si>
  <si>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</si>
  <si>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</si>
  <si>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</si>
  <si>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</si>
  <si>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</si>
  <si>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</si>
  <si>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</si>
  <si>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</si>
  <si>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</si>
  <si>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</si>
  <si>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</si>
  <si>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</si>
  <si>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</si>
  <si>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</si>
  <si>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</si>
  <si>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</si>
  <si>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</si>
  <si>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</si>
  <si>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</si>
  <si>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</si>
  <si>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</si>
  <si>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</si>
  <si>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</si>
  <si>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</si>
  <si>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</si>
  <si>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</si>
  <si>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</si>
  <si>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</si>
  <si>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</si>
  <si>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</si>
  <si>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</si>
  <si>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</si>
  <si>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</si>
  <si>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</si>
  <si>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</si>
  <si>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</si>
  <si>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</si>
  <si>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</si>
  <si>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</si>
  <si>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</si>
  <si>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</si>
  <si>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Для страховой выплаты</t>
  </si>
  <si>
    <t>Частная собственность</t>
  </si>
  <si>
    <t>Определение стоимости транспортного средства</t>
  </si>
  <si>
    <t>Для возмещения убытков (ст. 14 ГК КР)</t>
  </si>
  <si>
    <t>Рыночная стоимость</t>
  </si>
  <si>
    <t>Определение стоимости ущерба, причиненного вследствие возгорания транспортного средства</t>
  </si>
  <si>
    <t>Для принятия управленческих решений</t>
  </si>
  <si>
    <t>Для залогового  обеспечения кредитных обязательств</t>
  </si>
  <si>
    <t>Рыночная стоимость восстановления и утрата товарной стоимости транспортного средства</t>
  </si>
  <si>
    <t>Рыночная стоимость годных остатков (утилизационная стоимость)</t>
  </si>
  <si>
    <t>Наименование услуг</t>
  </si>
  <si>
    <t>Кол-во</t>
  </si>
  <si>
    <t>Нормо-час</t>
  </si>
  <si>
    <t>Стоимость</t>
  </si>
  <si>
    <t>Наименование материалов</t>
  </si>
  <si>
    <t>Цена за ед.</t>
  </si>
  <si>
    <t>Наименование запасных частей</t>
  </si>
  <si>
    <t>Цена</t>
  </si>
  <si>
    <t>Информация об аналогах и объекте оценки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</si>
  <si>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</si>
  <si>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</si>
  <si>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</si>
  <si>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</si>
  <si>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</si>
  <si>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</si>
  <si>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</si>
  <si>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Источник информации</t>
  </si>
  <si>
    <t>+996706091982</t>
  </si>
  <si>
    <t>+996703600002</t>
  </si>
  <si>
    <t>+996702777782</t>
  </si>
  <si>
    <t>+996700101319</t>
  </si>
  <si>
    <t>Марка/модель</t>
  </si>
  <si>
    <t>Hyundai Accent IV 1.4</t>
  </si>
  <si>
    <t>Hyundai Solaris I 1.6</t>
  </si>
  <si>
    <t>Hyundai Solaris I 1.4</t>
  </si>
  <si>
    <t>Краткое описание</t>
  </si>
  <si>
    <t>См. Акт осмотра</t>
  </si>
  <si>
    <t>Серебристый, МКПП, 240000 км, хорошее состояние</t>
  </si>
  <si>
    <t>Серый, АКПП, 240000 км, хорошее состояние</t>
  </si>
  <si>
    <t>Белый, АКПП, 150000 км, богатая комплектация, хорошее состояние</t>
  </si>
  <si>
    <t>Черный, АКПП, 91500 км, кожаный салон, хорошее состояние</t>
  </si>
  <si>
    <t>Год выпуска</t>
  </si>
  <si>
    <t>Стоимость, сом</t>
  </si>
  <si>
    <t>Наименование корректировки</t>
  </si>
  <si>
    <t>на уторговывание (скидку)</t>
  </si>
  <si>
    <t>скорректированная цена аналога, сом</t>
  </si>
  <si>
    <t>на пробег и год выпуска</t>
  </si>
  <si>
    <t>на состояние кузова</t>
  </si>
  <si>
    <t>на состояние салона</t>
  </si>
  <si>
    <t>на состояние ходовой части</t>
  </si>
  <si>
    <t>на тех. состояние двигателя и трансмиссии</t>
  </si>
  <si>
    <t>на комплектацию</t>
  </si>
  <si>
    <t>на дополнительную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</si>
  <si>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</si>
  <si>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</si>
  <si>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</si>
  <si>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</si>
  <si>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</si>
  <si>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</si>
  <si>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</si>
  <si>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</si>
  <si>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</si>
  <si>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</si>
  <si>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</si>
  <si>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</si>
  <si>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</si>
  <si>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</si>
  <si>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</si>
  <si>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</si>
  <si>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</si>
  <si>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г. Бишкек, ул. Атбашинская, 2/1</t>
  </si>
  <si>
    <t>г. Шопоков, штрафстоянка</t>
  </si>
  <si>
    <t>г. Бишкек, штрафстоянка вблизи пересечения ул. Фучика и Московской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</si>
  <si>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</si>
  <si>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</si>
  <si>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</si>
  <si>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</si>
  <si>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</si>
  <si>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</si>
  <si>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</si>
  <si>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</si>
  <si>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</si>
  <si>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стоимостью новых запасных частей под заказ и на местном рынке альтернативы им нет</t>
  </si>
  <si>
    <t>Заключение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</si>
  <si>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</si>
  <si>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</si>
  <si>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</si>
  <si>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</si>
  <si>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</si>
  <si>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</si>
  <si>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</si>
  <si>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</si>
  <si>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штрафстоянка на ул. Горького, 19/2 (ГорГАИ)</t>
  </si>
  <si>
    <t>г. Бишкек, штрафстоянка на пересечении ул. Анкара и Чокана Валиханова (Респ. ГАИ)</t>
  </si>
  <si>
    <t>г. Бишкек, штрафстоянка на пер. Багижском, 78 (Щербакова)</t>
  </si>
  <si>
    <t>г. Бишкек, штрафстоянка на ул. 7 апреля, 4Б/2 (Ак-Жол)</t>
  </si>
  <si>
    <t>г. Кант, штрафстоянка</t>
  </si>
  <si>
    <t>г. Бишкек, 88 мкр-н, 8-48</t>
  </si>
  <si>
    <t>Государственная собственность</t>
  </si>
  <si>
    <t>Муниципальная собственность</t>
  </si>
  <si>
    <t>Без осмотра</t>
  </si>
  <si>
    <t>Определение стоимости причиненного ущерба</t>
  </si>
  <si>
    <t>Определение стоимости ущерба, причиненного вследствие ненадлежащего ремонта транспортного средства</t>
  </si>
  <si>
    <t>Рыночная стоимость восстановления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</si>
  <si>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</si>
  <si>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</si>
  <si>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</si>
  <si>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</si>
  <si>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</si>
  <si>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</si>
  <si>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</si>
  <si>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</si>
  <si>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</si>
  <si>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</si>
  <si>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</si>
  <si>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</si>
  <si>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</si>
  <si>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</si>
  <si>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</si>
  <si>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$/сом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</si>
  <si>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</si>
  <si>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</si>
  <si>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</si>
  <si>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</si>
  <si>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</si>
  <si>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</si>
  <si>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</si>
  <si>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Среднерыночная стоимость транспортного средства</t>
  </si>
  <si>
    <t>Метод сравнительного анализа продаж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</si>
  <si>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</si>
  <si>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</si>
  <si>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</si>
  <si>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</si>
  <si>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</si>
  <si>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</si>
  <si>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</si>
  <si>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</si>
  <si>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</si>
  <si>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</si>
  <si>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</si>
  <si>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</si>
  <si>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</si>
  <si>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</si>
  <si>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</si>
  <si>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</si>
  <si>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</si>
  <si>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</si>
  <si>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</si>
  <si>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</si>
  <si>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</si>
  <si>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</si>
  <si>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</si>
  <si>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</si>
  <si>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</si>
  <si>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</si>
  <si>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</si>
  <si>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</si>
  <si>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</si>
  <si>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</si>
  <si>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</si>
  <si>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</si>
  <si>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</si>
  <si>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</si>
  <si>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</si>
  <si>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</si>
  <si>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</si>
  <si>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</si>
  <si>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</si>
  <si>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</si>
  <si>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</si>
  <si>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</si>
  <si>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</si>
  <si>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</si>
  <si>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</si>
  <si>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</si>
  <si>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</si>
  <si>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</si>
  <si>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</si>
  <si>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</si>
  <si>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</si>
  <si>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</si>
  <si>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</si>
  <si>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</si>
  <si>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</si>
  <si>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</si>
  <si>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</si>
  <si>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</si>
  <si>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</si>
  <si>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</si>
  <si>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</si>
  <si>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</si>
  <si>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</si>
  <si>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</si>
  <si>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</si>
  <si>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</si>
  <si>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</si>
  <si>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</si>
  <si>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</si>
  <si>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</si>
  <si>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</si>
  <si>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</si>
  <si>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</si>
  <si>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</si>
  <si>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</si>
  <si>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</si>
  <si>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</si>
  <si>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</si>
  <si>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</si>
  <si>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</si>
  <si>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</si>
  <si>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</si>
  <si>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</si>
  <si>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</si>
  <si>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</si>
  <si>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</si>
  <si>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</si>
  <si>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</si>
  <si>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</si>
  <si>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</si>
  <si>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</si>
  <si>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</si>
  <si>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</si>
  <si>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</si>
  <si>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</si>
  <si>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</si>
  <si>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</si>
  <si>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</si>
  <si>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</si>
  <si>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</si>
  <si>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</si>
  <si>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</si>
  <si>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</si>
  <si>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</si>
  <si>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</si>
  <si>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</si>
  <si>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</si>
  <si>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</si>
  <si>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</si>
  <si>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</si>
  <si>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</si>
  <si>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</si>
  <si>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</si>
  <si>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</si>
  <si>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</si>
  <si>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</si>
  <si>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</si>
  <si>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</si>
  <si>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</si>
  <si>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</si>
  <si>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</si>
  <si>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</si>
  <si>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</si>
  <si>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</si>
  <si>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</si>
  <si>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</si>
  <si>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</si>
  <si>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</si>
  <si>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</si>
  <si>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</si>
  <si>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</si>
  <si>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</si>
  <si>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</si>
  <si>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</si>
  <si>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</si>
  <si>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</si>
  <si>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</si>
  <si>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</si>
  <si>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</si>
  <si>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</si>
  <si>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</si>
  <si>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</si>
  <si>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</si>
  <si>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</si>
  <si>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</si>
  <si>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</si>
  <si>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</si>
  <si>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</si>
  <si>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</si>
  <si>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</si>
  <si>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</si>
  <si>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</si>
  <si>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</si>
  <si>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</si>
  <si>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</si>
  <si>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</si>
  <si>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</si>
  <si>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</si>
  <si>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</si>
  <si>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Метод расчета годных остатков затратным подходом и метод рыночной информации сравнительного подхода</t>
  </si>
  <si>
    <t>Навальный Алексей «ФБК»</t>
  </si>
  <si>
    <t>стоимость нормо-часа ремонтно-восстановительных работ (550,00 сом) определена согласно анализу стоимости услуг на станциях технического обслуживания, в частности: СТО "Первый Автосервис", +996312321916; Автоцентр "Бишкек-Лада", +996312533911; Автосервис "Победа", +996779332262; ИП "Сманов Н. Д.", +996772511572; СТО "ЭВИ-автоцентр", +996312352200</t>
  </si>
  <si>
    <t>Определение среднерыночной стоимости транспортного средства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</si>
  <si>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</si>
  <si>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</si>
  <si>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</si>
  <si>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</si>
  <si>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</si>
  <si>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</si>
  <si>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«Страховая компания «АЮ Гарант»</t>
  </si>
  <si>
    <t>ЗАО СК «Алма-Иншуренс»</t>
  </si>
  <si>
    <t>ЗАО СК «АТН Полис»</t>
  </si>
  <si>
    <t>ЗАО СК «Кыргызстан»</t>
  </si>
  <si>
    <t>ЗАО «НСК»</t>
  </si>
  <si>
    <t>ЗСАО «Ингосстрах»</t>
  </si>
  <si>
    <t>ЗАО «СК Арсеналъ-Кыргызстан»</t>
  </si>
  <si>
    <t>ЗАО «Страховая компания «А Плюс»</t>
  </si>
  <si>
    <t>ЗАО «Мега Иншуренс Групп»</t>
  </si>
  <si>
    <t>ЗАО «Jubilee Kyrgyzstan Insurance Company»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</si>
</sst>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\ _₽_-;\-* #,##0.00\ _₽_-;_-* &quot;-&quot;??\ _₽_-;_-@_-"/>
    <numFmt numFmtId="164" formatCode="\'sh\е\т\ \н\а\ \о\п\л\а\т\у\ \№\'\ dd\/mm"/>
    <numFmt numFmtId="165" formatCode="&quot;№&quot;dd\/mm"/>
    <numFmt numFmtId="166" formatCode="dd\/mm"/>
    <numFmt numFmtId="167" formatCode="[$-F800]dddd\,\ mmmm\ dd\,\ yyyy"/>
    <numFmt numFmtId="168" formatCode="#,##0.00\ _₽"/>
    <numFmt numFmtId="169" formatCode="#,##0.0\ _₽"/>
    <numFmt numFmtId="170" formatCode="0.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b/>
      <sz val="12"/>
      <color indexed="8"/>
      <name val="Times New Roman"/>
      <family val="1"/>
      <charset val="204"/>
    </font>
    <font>
      <sz val="12"/>
      <color theme="1"/>
      <name val="Times New Roman"/>
      <family val="2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i/>
      <sz val="12"/>
      <color indexed="8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4" fillId="0" borderId="0" applyFont="0" applyFill="0" applyBorder="0" applyAlignment="0" applyProtection="0"/>
    <xf numFmtId="0" fontId="13" fillId="0" borderId="0"/>
    <xf numFmtId="0" fontId="15" fillId="0" borderId="0"/>
    <xf numFmtId="0" fontId="17" fillId="0" borderId="0"/>
    <xf numFmtId="9" fontId="21" fillId="0" borderId="0" applyFont="0" applyFill="0" applyBorder="0" applyAlignment="0" applyProtection="0"/>
  </cellStyleXfs>
  <cellXfs count="197">
    <xf numFmtId="0" fontId="0" fillId="0" borderId="0" xfId="0"/>
    <xf numFmtId="0" fontId="5" fillId="0" borderId="0" xfId="0" applyFont="1" applyAlignment="1"/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165" fontId="7" fillId="0" borderId="0" xfId="0" applyNumberFormat="1" applyFont="1" applyAlignment="1">
      <alignment vertical="center"/>
    </xf>
    <xf numFmtId="0" fontId="6" fillId="0" borderId="0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Border="1" applyAlignment="1">
      <alignment vertical="center"/>
    </xf>
    <xf numFmtId="4" fontId="6" fillId="0" borderId="23" xfId="1" applyNumberFormat="1" applyFont="1" applyBorder="1" applyAlignment="1">
      <alignment horizontal="center" vertical="center" wrapText="1"/>
    </xf>
    <xf numFmtId="0" fontId="6" fillId="0" borderId="24" xfId="0" applyFont="1" applyBorder="1" applyAlignment="1">
      <alignment vertical="center"/>
    </xf>
    <xf numFmtId="0" fontId="6" fillId="0" borderId="24" xfId="0" applyFont="1" applyBorder="1" applyAlignment="1">
      <alignment horizontal="center" vertical="center"/>
    </xf>
    <xf numFmtId="4" fontId="6" fillId="2" borderId="23" xfId="1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center" wrapText="1"/>
    </xf>
    <xf numFmtId="49" fontId="9" fillId="0" borderId="0" xfId="0" applyNumberFormat="1" applyFont="1" applyAlignment="1">
      <alignment horizontal="center" vertical="center" wrapText="1"/>
    </xf>
    <xf numFmtId="3" fontId="9" fillId="0" borderId="0" xfId="0" applyNumberFormat="1" applyFont="1" applyAlignment="1">
      <alignment horizontal="right" vertical="center" wrapText="1"/>
    </xf>
    <xf numFmtId="49" fontId="5" fillId="0" borderId="0" xfId="0" applyNumberFormat="1" applyFont="1" applyAlignment="1">
      <alignment horizontal="center" vertical="center"/>
    </xf>
    <xf numFmtId="0" fontId="6" fillId="0" borderId="0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Border="1" applyAlignment="1">
      <alignment horizontal="right" vertical="center"/>
    </xf>
    <xf numFmtId="0" fontId="5" fillId="0" borderId="27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vertical="center" textRotation="90"/>
    </xf>
    <xf numFmtId="0" fontId="6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7" fontId="0" fillId="0" borderId="2" xfId="0" applyNumberFormat="1" applyFill="1" applyBorder="1" applyAlignment="1">
      <alignment horizontal="left"/>
    </xf>
    <xf numFmtId="0" fontId="0" fillId="0" borderId="0" xfId="0" applyBorder="1"/>
    <xf numFmtId="168" fontId="0" fillId="0" borderId="2" xfId="0" applyNumberFormat="1" applyBorder="1"/>
    <xf numFmtId="0" fontId="0" fillId="0" borderId="2" xfId="0" applyFont="1" applyBorder="1"/>
    <xf numFmtId="168" fontId="0" fillId="0" borderId="2" xfId="0" applyNumberFormat="1" applyFont="1" applyBorder="1"/>
    <xf numFmtId="0" fontId="0" fillId="0" borderId="2" xfId="0" applyFont="1" applyBorder="1" applyAlignment="1">
      <alignment horizontal="left"/>
    </xf>
    <xf numFmtId="0" fontId="0" fillId="0" borderId="0" xfId="0"/>
    <xf numFmtId="0" fontId="0" fillId="0" borderId="2" xfId="0" applyBorder="1"/>
    <xf numFmtId="0" fontId="14" fillId="3" borderId="2" xfId="3" applyFont="1" applyFill="1" applyBorder="1" applyAlignment="1">
      <alignment horizontal="left" vertical="center" wrapText="1"/>
    </xf>
    <xf numFmtId="0" fontId="14" fillId="3" borderId="2" xfId="3" applyFont="1" applyFill="1" applyBorder="1" applyAlignment="1">
      <alignment horizontal="center" vertical="center" wrapText="1"/>
    </xf>
    <xf numFmtId="0" fontId="16" fillId="0" borderId="2" xfId="3" applyFont="1" applyFill="1" applyBorder="1" applyAlignment="1">
      <alignment horizontal="left" vertical="center" wrapText="1"/>
    </xf>
    <xf numFmtId="14" fontId="18" fillId="0" borderId="2" xfId="4" applyNumberFormat="1" applyFont="1" applyFill="1" applyBorder="1" applyAlignment="1">
      <alignment horizontal="center" vertical="center" wrapText="1"/>
    </xf>
    <xf numFmtId="0" fontId="19" fillId="0" borderId="2" xfId="4" quotePrefix="1" applyFont="1" applyFill="1" applyBorder="1" applyAlignment="1">
      <alignment horizontal="center" vertical="center" wrapText="1"/>
    </xf>
    <xf numFmtId="0" fontId="19" fillId="0" borderId="2" xfId="4" applyFont="1" applyFill="1" applyBorder="1" applyAlignment="1">
      <alignment horizontal="center" vertical="center" wrapText="1"/>
    </xf>
    <xf numFmtId="3" fontId="20" fillId="0" borderId="2" xfId="3" applyNumberFormat="1" applyFont="1" applyFill="1" applyBorder="1" applyAlignment="1">
      <alignment horizontal="center" vertical="top" wrapText="1"/>
    </xf>
    <xf numFmtId="0" fontId="14" fillId="4" borderId="2" xfId="3" applyFont="1" applyFill="1" applyBorder="1" applyAlignment="1">
      <alignment horizontal="center" vertical="center" wrapText="1"/>
    </xf>
    <xf numFmtId="4" fontId="20" fillId="0" borderId="2" xfId="5" applyNumberFormat="1" applyFont="1" applyFill="1" applyBorder="1" applyAlignment="1">
      <alignment horizontal="center" vertical="center" wrapText="1"/>
    </xf>
    <xf numFmtId="3" fontId="22" fillId="0" borderId="2" xfId="5" applyNumberFormat="1" applyFont="1" applyFill="1" applyBorder="1" applyAlignment="1">
      <alignment horizontal="center" vertical="center" wrapText="1"/>
    </xf>
    <xf numFmtId="0" fontId="20" fillId="0" borderId="0" xfId="3" applyFont="1" applyFill="1" applyAlignment="1">
      <alignment horizontal="left" wrapText="1"/>
    </xf>
    <xf numFmtId="168" fontId="12" fillId="0" borderId="0" xfId="0" applyNumberFormat="1" applyFont="1"/>
    <xf numFmtId="0" fontId="12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2" fillId="0" borderId="2" xfId="0" applyFont="1" applyBorder="1"/>
    <xf numFmtId="0" fontId="0" fillId="0" borderId="0" xfId="0" applyFill="1" applyBorder="1"/>
    <xf numFmtId="0" fontId="3" fillId="0" borderId="0" xfId="0" applyFont="1" applyBorder="1"/>
    <xf numFmtId="0" fontId="0" fillId="0" borderId="0" xfId="0" applyBorder="1" applyAlignment="1">
      <alignment vertical="top"/>
    </xf>
    <xf numFmtId="0" fontId="0" fillId="5" borderId="2" xfId="0" applyFill="1" applyBorder="1"/>
    <xf numFmtId="0" fontId="0" fillId="5" borderId="2" xfId="0" applyFill="1" applyBorder="1" applyAlignment="1">
      <alignment horizontal="left"/>
    </xf>
    <xf numFmtId="167" fontId="0" fillId="5" borderId="2" xfId="0" applyNumberFormat="1" applyFill="1" applyBorder="1" applyAlignment="1">
      <alignment horizontal="left"/>
    </xf>
    <xf numFmtId="4" fontId="0" fillId="5" borderId="2" xfId="0" applyNumberFormat="1" applyFill="1" applyBorder="1" applyAlignment="1">
      <alignment horizontal="left"/>
    </xf>
    <xf numFmtId="168" fontId="0" fillId="0" borderId="0" xfId="0" applyNumberFormat="1" applyBorder="1"/>
    <xf numFmtId="0" fontId="0" fillId="0" borderId="0" xfId="0" applyFont="1" applyBorder="1"/>
    <xf numFmtId="0" fontId="0" fillId="0" borderId="0" xfId="0" applyBorder="1" applyAlignment="1">
      <alignment horizontal="left"/>
    </xf>
    <xf numFmtId="0" fontId="12" fillId="0" borderId="0" xfId="0" applyFont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8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168" fontId="12" fillId="0" borderId="0" xfId="0" applyNumberFormat="1" applyFont="1" applyBorder="1"/>
    <xf numFmtId="4" fontId="12" fillId="0" borderId="2" xfId="0" applyNumberFormat="1" applyFont="1" applyBorder="1" applyAlignment="1">
      <alignment horizontal="center"/>
    </xf>
    <xf numFmtId="0" fontId="0" fillId="0" borderId="2" xfId="0" quotePrefix="1" applyBorder="1"/>
    <xf numFmtId="168" fontId="0" fillId="0" borderId="0" xfId="0" applyNumberFormat="1" applyFill="1" applyBorder="1"/>
    <xf numFmtId="0" fontId="0" fillId="0" borderId="0" xfId="0" quotePrefix="1" applyBorder="1"/>
    <xf numFmtId="168" fontId="0" fillId="0" borderId="2" xfId="0" applyNumberFormat="1" applyFill="1" applyBorder="1"/>
    <xf numFmtId="169" fontId="0" fillId="0" borderId="2" xfId="0" applyNumberFormat="1" applyFill="1" applyBorder="1"/>
    <xf numFmtId="169" fontId="12" fillId="0" borderId="0" xfId="0" applyNumberFormat="1" applyFont="1" applyBorder="1"/>
    <xf numFmtId="168" fontId="12" fillId="0" borderId="0" xfId="0" applyNumberFormat="1" applyFont="1" applyFill="1" applyBorder="1"/>
    <xf numFmtId="0" fontId="1" fillId="0" borderId="2" xfId="0" applyFont="1" applyBorder="1"/>
    <xf numFmtId="0" fontId="12" fillId="0" borderId="0" xfId="0" applyFont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2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2" fillId="0" borderId="36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right"/>
    </xf>
    <xf numFmtId="2" fontId="12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14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4" fontId="5" fillId="0" borderId="3" xfId="1" applyNumberFormat="1" applyFont="1" applyBorder="1" applyAlignment="1">
      <alignment horizontal="center" vertical="center" wrapText="1"/>
    </xf>
    <xf numFmtId="4" fontId="5" fillId="0" borderId="4" xfId="1" applyNumberFormat="1" applyFont="1" applyBorder="1" applyAlignment="1">
      <alignment horizontal="center" vertical="center" wrapText="1"/>
    </xf>
    <xf numFmtId="4" fontId="5" fillId="0" borderId="18" xfId="1" applyNumberFormat="1" applyFont="1" applyBorder="1" applyAlignment="1">
      <alignment horizontal="center" vertical="center" wrapText="1"/>
    </xf>
    <xf numFmtId="4" fontId="5" fillId="0" borderId="19" xfId="1" applyNumberFormat="1" applyFont="1" applyBorder="1" applyAlignment="1">
      <alignment horizontal="center" vertical="center" wrapText="1"/>
    </xf>
    <xf numFmtId="0" fontId="6" fillId="0" borderId="20" xfId="0" applyFont="1" applyBorder="1" applyAlignment="1">
      <alignment horizontal="right" vertical="center"/>
    </xf>
    <xf numFmtId="0" fontId="6" fillId="0" borderId="21" xfId="0" applyFont="1" applyBorder="1" applyAlignment="1">
      <alignment horizontal="right" vertical="center"/>
    </xf>
    <xf numFmtId="0" fontId="6" fillId="0" borderId="22" xfId="0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 wrapText="1"/>
    </xf>
    <xf numFmtId="166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" fontId="5" fillId="0" borderId="3" xfId="0" quotePrefix="1" applyNumberFormat="1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right" vertical="center"/>
    </xf>
    <xf numFmtId="0" fontId="6" fillId="2" borderId="21" xfId="0" applyFont="1" applyFill="1" applyBorder="1" applyAlignment="1">
      <alignment horizontal="right" vertical="center"/>
    </xf>
    <xf numFmtId="0" fontId="6" fillId="2" borderId="22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NumberFormat="1" applyFont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9" fillId="0" borderId="0" xfId="0" applyFont="1" applyAlignment="1">
      <alignment horizontal="left" vertical="top" wrapText="1"/>
    </xf>
    <xf numFmtId="0" fontId="9" fillId="0" borderId="0" xfId="0" applyFont="1" applyBorder="1" applyAlignment="1">
      <alignment horizontal="left" vertical="top" wrapText="1"/>
    </xf>
    <xf numFmtId="0" fontId="5" fillId="0" borderId="26" xfId="0" applyFont="1" applyBorder="1" applyAlignment="1">
      <alignment horizontal="center" vertical="center" textRotation="90"/>
    </xf>
    <xf numFmtId="14" fontId="5" fillId="0" borderId="5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top" wrapText="1"/>
    </xf>
    <xf numFmtId="0" fontId="9" fillId="0" borderId="0" xfId="0" applyFont="1" applyBorder="1" applyAlignment="1">
      <alignment horizontal="center" vertical="top" wrapText="1"/>
    </xf>
    <xf numFmtId="167" fontId="9" fillId="0" borderId="0" xfId="0" applyNumberFormat="1" applyFont="1" applyBorder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 textRotation="90" wrapText="1"/>
    </xf>
    <xf numFmtId="0" fontId="10" fillId="0" borderId="2" xfId="0" applyFont="1" applyBorder="1" applyAlignment="1">
      <alignment horizontal="center" vertical="center" textRotation="90" wrapText="1"/>
    </xf>
    <xf numFmtId="0" fontId="10" fillId="0" borderId="1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center" vertical="center"/>
    </xf>
    <xf numFmtId="0" fontId="5" fillId="0" borderId="32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textRotation="90" wrapText="1"/>
    </xf>
    <xf numFmtId="0" fontId="10" fillId="0" borderId="31" xfId="0" applyFont="1" applyBorder="1" applyAlignment="1">
      <alignment horizontal="center" vertical="center" textRotation="90" wrapText="1"/>
    </xf>
    <xf numFmtId="0" fontId="10" fillId="0" borderId="29" xfId="0" applyFont="1" applyBorder="1" applyAlignment="1">
      <alignment horizontal="center" vertical="center" textRotation="90" wrapText="1"/>
    </xf>
    <xf numFmtId="0" fontId="10" fillId="0" borderId="30" xfId="0" applyFont="1" applyBorder="1" applyAlignment="1">
      <alignment horizontal="center" vertical="center" textRotation="90" wrapText="1"/>
    </xf>
    <xf numFmtId="0" fontId="10" fillId="0" borderId="27" xfId="0" applyFont="1" applyBorder="1" applyAlignment="1">
      <alignment horizontal="center" vertical="center" textRotation="90" wrapText="1"/>
    </xf>
    <xf numFmtId="0" fontId="10" fillId="0" borderId="25" xfId="0" applyFont="1" applyBorder="1" applyAlignment="1">
      <alignment horizontal="center" vertical="center" textRotation="90" wrapText="1"/>
    </xf>
    <xf numFmtId="0" fontId="10" fillId="0" borderId="8" xfId="0" applyFont="1" applyBorder="1" applyAlignment="1">
      <alignment horizontal="center" vertical="center" textRotation="90" wrapText="1"/>
    </xf>
    <xf numFmtId="0" fontId="10" fillId="0" borderId="9" xfId="0" applyFont="1" applyBorder="1" applyAlignment="1">
      <alignment horizontal="center" vertical="center" textRotation="90" wrapText="1"/>
    </xf>
    <xf numFmtId="0" fontId="5" fillId="0" borderId="14" xfId="0" applyFont="1" applyBorder="1" applyAlignment="1">
      <alignment horizontal="center" vertical="center"/>
    </xf>
    <xf numFmtId="49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0" fillId="0" borderId="2" xfId="3" applyFont="1" applyFill="1" applyBorder="1" applyAlignment="1">
      <alignment vertical="center" wrapText="1"/>
    </xf>
    <xf numFmtId="0" fontId="14" fillId="3" borderId="2" xfId="2" applyFont="1" applyFill="1" applyBorder="1" applyAlignment="1">
      <alignment horizontal="center" vertical="center"/>
    </xf>
    <xf numFmtId="0" fontId="16" fillId="0" borderId="2" xfId="3" applyFont="1" applyFill="1" applyBorder="1" applyAlignment="1">
      <alignment horizontal="left" vertical="center" wrapText="1"/>
    </xf>
    <xf numFmtId="0" fontId="14" fillId="4" borderId="2" xfId="2" applyFont="1" applyFill="1" applyBorder="1" applyAlignment="1">
      <alignment horizontal="left" vertical="center"/>
    </xf>
    <xf numFmtId="0" fontId="22" fillId="0" borderId="2" xfId="3" applyFont="1" applyFill="1" applyBorder="1" applyAlignment="1">
      <alignment vertical="center" wrapText="1"/>
    </xf>
    <xf numFmtId="0" fontId="22" fillId="0" borderId="10" xfId="3" applyFont="1" applyFill="1" applyBorder="1" applyAlignment="1">
      <alignment vertical="center" wrapText="1"/>
    </xf>
    <xf numFmtId="0" fontId="22" fillId="0" borderId="36" xfId="3" applyFont="1" applyFill="1" applyBorder="1" applyAlignment="1">
      <alignment vertical="center" wrapText="1"/>
    </xf>
    <xf numFmtId="0" fontId="14" fillId="4" borderId="2" xfId="3" applyFont="1" applyFill="1" applyBorder="1" applyAlignment="1">
      <alignment vertical="center" wrapText="1"/>
    </xf>
    <xf numFmtId="3" fontId="14" fillId="4" borderId="2" xfId="3" applyNumberFormat="1" applyFont="1" applyFill="1" applyBorder="1" applyAlignment="1">
      <alignment horizontal="center" vertical="center" wrapText="1"/>
    </xf>
    <xf numFmtId="0" fontId="20" fillId="0" borderId="10" xfId="3" applyFont="1" applyFill="1" applyBorder="1" applyAlignment="1">
      <alignment vertical="center" wrapText="1"/>
    </xf>
    <xf numFmtId="0" fontId="20" fillId="0" borderId="36" xfId="3" applyFont="1" applyFill="1" applyBorder="1" applyAlignment="1">
      <alignment vertical="center" wrapText="1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tabSelected="1" topLeftCell="A16" zoomScaleNormal="100" workbookViewId="0">
      <selection activeCell="B2" sqref="B2"/>
    </sheetView>
  </sheetViews>
  <sheetFormatPr defaultRowHeight="15" x14ac:dyDescent="0.25"/>
  <cols>
    <col min="1" max="1" width="27.42578125" bestFit="1" customWidth="1"/>
    <col min="2" max="2" width="125.7109375" customWidth="1"/>
    <col min="3" max="3" width="12.28515625" customWidth="1"/>
    <col min="4" max="13" width="8.7109375" hidden="1" customWidth="1"/>
    <col min="14" max="14" width="9.28515625" hidden="1" customWidth="1"/>
  </cols>
  <sheetData>
    <row r="1" spans="1:13" x14ac:dyDescent="0.25">
      <c r="A1" s="28" t="s">
        <v>146</v>
      </c>
      <c r="B1" s="28" t="s">
        <v>131</v>
      </c>
      <c r="D1" t="s">
        <v>131</v>
      </c>
      <c r="E1" t="s">
        <v>145</v>
      </c>
    </row>
    <row r="2" spans="1:13" s="57" customFormat="1" x14ac:dyDescent="0.25">
      <c r="A2" s="62" t="s">
        <v>125</v>
      </c>
      <c r="B2" s="62" t="s">
        <v>351</v>
      </c>
      <c r="D2" s="57" t="s">
        <v>360</v>
      </c>
      <c r="E2" s="57" t="s">
        <v>361</v>
      </c>
      <c r="F2" s="57" t="s">
        <v>362</v>
      </c>
      <c r="G2" s="57" t="s">
        <v>363</v>
      </c>
      <c r="H2" s="57" t="s">
        <v>364</v>
      </c>
      <c r="I2" s="57" t="s">
        <v>365</v>
      </c>
      <c r="J2" s="57" t="s">
        <v>366</v>
      </c>
      <c r="K2" s="57" t="s">
        <v>369</v>
      </c>
      <c r="L2" s="57" t="s">
        <v>368</v>
      </c>
      <c r="M2" s="57" t="s">
        <v>367</v>
      </c>
    </row>
    <row r="3" spans="1:13" s="57" customFormat="1" x14ac:dyDescent="0.25">
      <c r="A3" s="62" t="s">
        <v>45</v>
      </c>
      <c r="B3" s="62" t="s">
        <v>126</v>
      </c>
    </row>
    <row r="4" spans="1:13" s="57" customFormat="1" x14ac:dyDescent="0.25">
      <c r="A4" s="62" t="s">
        <v>40</v>
      </c>
      <c r="B4" s="62" t="s">
        <v>46</v>
      </c>
    </row>
    <row r="5" spans="1:13" s="57" customFormat="1" x14ac:dyDescent="0.25">
      <c r="A5" s="62" t="s">
        <v>124</v>
      </c>
      <c r="B5" s="62" t="s">
        <v>148</v>
      </c>
    </row>
    <row r="6" spans="1:13" s="57" customFormat="1" x14ac:dyDescent="0.25">
      <c r="A6" s="62" t="s">
        <v>141</v>
      </c>
      <c r="B6" s="63" t="s">
        <v>147</v>
      </c>
    </row>
    <row r="7" spans="1:13" x14ac:dyDescent="0.25">
      <c r="A7" s="28" t="s">
        <v>50</v>
      </c>
      <c r="B7" s="29" t="s">
        <v>149</v>
      </c>
    </row>
    <row r="8" spans="1:13" x14ac:dyDescent="0.25">
      <c r="A8" s="28" t="s">
        <v>51</v>
      </c>
      <c r="B8" s="29" t="s">
        <v>56</v>
      </c>
    </row>
    <row r="9" spans="1:13" x14ac:dyDescent="0.25">
      <c r="A9" s="28" t="s">
        <v>52</v>
      </c>
      <c r="B9" s="29" t="s">
        <v>150</v>
      </c>
    </row>
    <row r="10" spans="1:13" x14ac:dyDescent="0.25">
      <c r="A10" s="28" t="s">
        <v>54</v>
      </c>
      <c r="B10" s="29">
        <v>2088</v>
      </c>
    </row>
    <row r="11" spans="1:13" ht="14.65" customHeight="1" x14ac:dyDescent="0.25">
      <c r="A11" s="28" t="s">
        <v>188</v>
      </c>
      <c r="B11" s="29">
        <v>2498</v>
      </c>
    </row>
    <row r="12" spans="1:13" x14ac:dyDescent="0.25">
      <c r="A12" s="28" t="s">
        <v>127</v>
      </c>
      <c r="B12" s="29" t="s">
        <v>57</v>
      </c>
    </row>
    <row r="13" spans="1:13" x14ac:dyDescent="0.25">
      <c r="A13" s="28" t="s">
        <v>55</v>
      </c>
      <c r="B13" s="29" t="s">
        <v>151</v>
      </c>
    </row>
    <row r="14" spans="1:13" x14ac:dyDescent="0.25">
      <c r="A14" s="28" t="s">
        <v>172</v>
      </c>
      <c r="B14" s="29" t="s">
        <v>171</v>
      </c>
    </row>
    <row r="15" spans="1:13" x14ac:dyDescent="0.25">
      <c r="A15" s="28" t="s">
        <v>135</v>
      </c>
      <c r="B15" s="28" t="s">
        <v>41</v>
      </c>
    </row>
    <row r="16" spans="1:13" x14ac:dyDescent="0.25">
      <c r="A16" s="28" t="s">
        <v>136</v>
      </c>
      <c r="B16" s="28" t="s">
        <v>63</v>
      </c>
      <c r="D16" t="s">
        <v>63</v>
      </c>
      <c r="E16" t="s">
        <v>160</v>
      </c>
      <c r="F16" t="s">
        <v>161</v>
      </c>
      <c r="G16" t="s">
        <v>57</v>
      </c>
    </row>
    <row r="17" spans="1:13" x14ac:dyDescent="0.25">
      <c r="A17" s="28" t="s">
        <v>173</v>
      </c>
      <c r="B17" s="28" t="str">
        <f>B2</f>
        <v>Навальный Алексей «ФБК»</v>
      </c>
    </row>
    <row r="18" spans="1:13" x14ac:dyDescent="0.25">
      <c r="A18" s="28" t="s">
        <v>53</v>
      </c>
      <c r="B18" s="28" t="s">
        <v>159</v>
      </c>
    </row>
    <row r="19" spans="1:13" x14ac:dyDescent="0.25">
      <c r="A19" s="28" t="s">
        <v>139</v>
      </c>
      <c r="B19" s="58" t="s">
        <v>153</v>
      </c>
      <c r="D19" s="59" t="s">
        <v>153</v>
      </c>
      <c r="E19" s="59" t="s">
        <v>132</v>
      </c>
      <c r="F19" s="32" t="s">
        <v>155</v>
      </c>
      <c r="G19" s="32" t="s">
        <v>154</v>
      </c>
      <c r="H19" s="32" t="s">
        <v>156</v>
      </c>
      <c r="I19" s="59" t="s">
        <v>157</v>
      </c>
      <c r="J19" s="60" t="s">
        <v>134</v>
      </c>
      <c r="K19" s="32" t="s">
        <v>133</v>
      </c>
      <c r="L19" s="59" t="s">
        <v>158</v>
      </c>
      <c r="M19" s="59" t="s">
        <v>162</v>
      </c>
    </row>
    <row r="20" spans="1:13" s="57" customFormat="1" x14ac:dyDescent="0.25">
      <c r="A20" s="62" t="s">
        <v>42</v>
      </c>
      <c r="B20" s="64">
        <v>43831</v>
      </c>
    </row>
    <row r="21" spans="1:13" s="57" customFormat="1" x14ac:dyDescent="0.25">
      <c r="A21" s="56" t="s">
        <v>43</v>
      </c>
      <c r="B21" s="31">
        <v>43837</v>
      </c>
    </row>
    <row r="22" spans="1:13" s="57" customFormat="1" x14ac:dyDescent="0.25">
      <c r="A22" s="56" t="s">
        <v>44</v>
      </c>
      <c r="B22" s="56" t="s">
        <v>47</v>
      </c>
      <c r="D22" s="37" t="s">
        <v>163</v>
      </c>
      <c r="E22" s="37" t="s">
        <v>47</v>
      </c>
      <c r="F22" s="37" t="s">
        <v>164</v>
      </c>
      <c r="G22" s="37" t="s">
        <v>67</v>
      </c>
      <c r="H22" s="37" t="s">
        <v>64</v>
      </c>
      <c r="I22" s="37" t="s">
        <v>353</v>
      </c>
    </row>
    <row r="23" spans="1:13" x14ac:dyDescent="0.25">
      <c r="A23" s="28" t="s">
        <v>138</v>
      </c>
      <c r="B23" s="28" t="s">
        <v>65</v>
      </c>
      <c r="D23" s="37" t="s">
        <v>65</v>
      </c>
      <c r="E23" s="37" t="s">
        <v>62</v>
      </c>
      <c r="F23" s="37" t="s">
        <v>68</v>
      </c>
      <c r="G23" s="37" t="s">
        <v>69</v>
      </c>
    </row>
    <row r="24" spans="1:13" x14ac:dyDescent="0.25">
      <c r="A24" s="28" t="s">
        <v>140</v>
      </c>
      <c r="B24" s="28" t="s">
        <v>48</v>
      </c>
      <c r="D24" t="s">
        <v>66</v>
      </c>
      <c r="E24" t="s">
        <v>165</v>
      </c>
      <c r="F24" t="s">
        <v>48</v>
      </c>
      <c r="G24" t="s">
        <v>70</v>
      </c>
      <c r="H24" s="37" t="s">
        <v>71</v>
      </c>
      <c r="I24" t="s">
        <v>189</v>
      </c>
    </row>
    <row r="25" spans="1:13" x14ac:dyDescent="0.25">
      <c r="A25" s="28" t="s">
        <v>137</v>
      </c>
      <c r="B25" s="28" t="s">
        <v>49</v>
      </c>
      <c r="D25" t="s">
        <v>49</v>
      </c>
      <c r="E25" t="s">
        <v>350</v>
      </c>
      <c r="F25" t="s">
        <v>190</v>
      </c>
    </row>
    <row r="26" spans="1:13" ht="45" x14ac:dyDescent="0.25">
      <c r="A26" s="30" t="s">
        <v>58</v>
      </c>
      <c r="B26" s="30" t="s">
        <v>352</v>
      </c>
    </row>
    <row r="27" spans="1:13" s="37" customFormat="1" ht="30" x14ac:dyDescent="0.25">
      <c r="A27" s="30" t="s">
        <v>128</v>
      </c>
      <c r="B27" s="30" t="s">
        <v>142</v>
      </c>
    </row>
    <row r="28" spans="1:13" ht="90" x14ac:dyDescent="0.25">
      <c r="A28" s="30" t="s">
        <v>59</v>
      </c>
      <c r="B28" s="30" t="s">
        <v>356</v>
      </c>
    </row>
    <row r="29" spans="1:13" s="37" customFormat="1" ht="60" x14ac:dyDescent="0.25">
      <c r="A29" s="30" t="s">
        <v>170</v>
      </c>
      <c r="B29" s="30" t="s">
        <v>354</v>
      </c>
    </row>
    <row r="30" spans="1:13" s="37" customFormat="1" x14ac:dyDescent="0.25">
      <c r="A30" s="30" t="s">
        <v>143</v>
      </c>
      <c r="B30" s="30" t="s">
        <v>357</v>
      </c>
      <c r="D30" s="61" t="s">
        <v>144</v>
      </c>
      <c r="E30" s="37" t="s">
        <v>357</v>
      </c>
    </row>
    <row r="31" spans="1:13" x14ac:dyDescent="0.25">
      <c r="A31" s="28" t="s">
        <v>130</v>
      </c>
      <c r="B31" s="83" t="s">
        <v>167</v>
      </c>
    </row>
    <row r="32" spans="1:13" s="37" customFormat="1" x14ac:dyDescent="0.25">
      <c r="A32" s="30" t="s">
        <v>152</v>
      </c>
      <c r="B32" s="83" t="s">
        <v>169</v>
      </c>
    </row>
    <row r="33" spans="1:2" s="37" customFormat="1" x14ac:dyDescent="0.25">
      <c r="A33" s="30" t="s">
        <v>129</v>
      </c>
      <c r="B33" s="83" t="s">
        <v>168</v>
      </c>
    </row>
    <row r="34" spans="1:2" s="57" customFormat="1" x14ac:dyDescent="0.25">
      <c r="A34" s="62" t="s">
        <v>60</v>
      </c>
      <c r="B34" s="65">
        <v>2500</v>
      </c>
    </row>
    <row r="35" spans="1:2" s="57" customFormat="1" x14ac:dyDescent="0.25">
      <c r="A35" s="62" t="s">
        <v>61</v>
      </c>
      <c r="B35" s="63" t="s">
        <v>166</v>
      </c>
    </row>
  </sheetData>
  <dataValidations count="11">
    <dataValidation type="list" showErrorMessage="1" errorTitle="Точно?" error="Выбери между Отчетом и Заключением!" promptTitle="Тип документа" prompt="Выберите между Отчетом и Заключением" sqref="B1" xr:uid="{00000000-0002-0000-0000-000000000000}">
      <formula1>$D$1:$E$1</formula1>
    </dataValidation>
    <dataValidation type="list" errorStyle="warning" showInputMessage="1" showErrorMessage="1" errorTitle="Проверь!" promptTitle="Чья собственнойсть?" prompt="Укажите кому принадлежит объект оценки" sqref="D16:G16" xr:uid="{00000000-0002-0000-0000-000001000000}">
      <formula1>$D$16:$G$16</formula1>
    </dataValidation>
    <dataValidation type="list" errorStyle="warning" showErrorMessage="1" errorTitle="Точно?" error="Проверь!" sqref="B16" xr:uid="{00000000-0002-0000-0000-000002000000}">
      <formula1>$D$16:$G$16</formula1>
    </dataValidation>
    <dataValidation type="list" errorStyle="information" showErrorMessage="1" errorTitle="Точно?" error="Проверь!" sqref="B19" xr:uid="{00000000-0002-0000-0000-000003000000}">
      <formula1>$D$19:$M$19</formula1>
    </dataValidation>
    <dataValidation type="list" errorStyle="warning" showErrorMessage="1" errorTitle="Точно?" error="Проверь!" sqref="B22" xr:uid="{00000000-0002-0000-0000-000004000000}">
      <formula1>$D$22:$I$22</formula1>
    </dataValidation>
    <dataValidation type="list" errorStyle="warning" showErrorMessage="1" errorTitle="Точно?" error="Проверь!" sqref="B23" xr:uid="{00000000-0002-0000-0000-000005000000}">
      <formula1>$D$23:$G$23</formula1>
    </dataValidation>
    <dataValidation type="list" errorStyle="warning" showErrorMessage="1" errorTitle="Точно?" error="Проверь!" sqref="B24" xr:uid="{00000000-0002-0000-0000-000006000000}">
      <formula1>$D$24:$I$24</formula1>
    </dataValidation>
    <dataValidation type="list" showErrorMessage="1" errorTitle="Точно?" error="Проверь!" sqref="B30" xr:uid="{00000000-0002-0000-0000-000007000000}">
      <formula1>$D$30:$E$30</formula1>
    </dataValidation>
    <dataValidation type="list" errorStyle="information" allowBlank="1" showInputMessage="1" showErrorMessage="1" errorTitle="щэщзэщ" error="щэщзэщ" promptTitle="шгщшгзщ" prompt="щгшщшщшгщгшщгщ" sqref="C17" xr:uid="{00000000-0002-0000-0000-000008000000}">
      <formula1>$O$23:$O$25</formula1>
    </dataValidation>
    <dataValidation type="list" errorStyle="warning" allowBlank="1" showErrorMessage="1" errorTitle="Внимание!" error="Проверь!" sqref="B25" xr:uid="{00000000-0002-0000-0000-000009000000}">
      <formula1>$D$25:$F$25</formula1>
    </dataValidation>
    <dataValidation type="list" allowBlank="1" sqref="B2" xr:uid="{00000000-0002-0000-0000-00000A000000}">
      <formula1>$D$2:$M$2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activeCell="C44" sqref="C44:J44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27" t="s">
        <v>174</v>
      </c>
      <c r="B1" s="127"/>
      <c r="C1" s="127"/>
      <c r="D1" s="127"/>
      <c r="E1" s="127"/>
      <c r="F1" s="127"/>
      <c r="G1" s="127"/>
      <c r="H1" s="127"/>
      <c r="I1" s="127"/>
      <c r="J1" s="127"/>
    </row>
    <row r="2" spans="1:10" s="7" customFormat="1" ht="12.75" customHeight="1" x14ac:dyDescent="0.25">
      <c r="A2" s="127"/>
      <c r="B2" s="127"/>
      <c r="C2" s="127"/>
      <c r="D2" s="127"/>
      <c r="E2" s="127"/>
      <c r="F2" s="127"/>
      <c r="G2" s="127"/>
      <c r="H2" s="127"/>
      <c r="I2" s="127"/>
      <c r="J2" s="127"/>
    </row>
    <row r="3" spans="1:10" s="7" customFormat="1" ht="12.75" customHeight="1" x14ac:dyDescent="0.25">
      <c r="A3" s="127"/>
      <c r="B3" s="127"/>
      <c r="C3" s="127"/>
      <c r="D3" s="127"/>
      <c r="E3" s="127"/>
      <c r="F3" s="127"/>
      <c r="G3" s="127"/>
      <c r="H3" s="127"/>
      <c r="I3" s="127"/>
      <c r="J3" s="127"/>
    </row>
    <row r="4" spans="1:10" s="7" customFormat="1" ht="12.75" customHeight="1" x14ac:dyDescent="0.25">
      <c r="A4" s="128" t="s">
        <v>0</v>
      </c>
      <c r="B4" s="128"/>
      <c r="C4" s="128"/>
      <c r="D4" s="129">
        <f>H4</f>
        <v>43831</v>
      </c>
      <c r="F4" s="5"/>
      <c r="G4" s="2"/>
      <c r="H4" s="130">
        <f>Дано!B20</f>
        <v>43831</v>
      </c>
      <c r="I4" s="131"/>
      <c r="J4" s="131"/>
    </row>
    <row r="5" spans="1:10" s="7" customFormat="1" ht="12.75" customHeight="1" x14ac:dyDescent="0.25">
      <c r="A5" s="128"/>
      <c r="B5" s="128"/>
      <c r="C5" s="128"/>
      <c r="D5" s="129"/>
      <c r="E5" s="5"/>
      <c r="F5" s="5"/>
      <c r="G5" s="2"/>
      <c r="H5" s="131"/>
      <c r="I5" s="131"/>
      <c r="J5" s="131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18" t="s">
        <v>1</v>
      </c>
      <c r="B7" s="118"/>
      <c r="C7" s="120" t="str">
        <f>Дано!B2</f>
        <v>Навальный Алексей «ФБК»</v>
      </c>
      <c r="D7" s="120"/>
      <c r="E7" s="120"/>
      <c r="F7" s="120"/>
      <c r="G7" s="120"/>
      <c r="H7" s="120"/>
      <c r="I7" s="120"/>
      <c r="J7" s="120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18" t="s">
        <v>2</v>
      </c>
      <c r="B9" s="118"/>
      <c r="C9" s="120" t="str">
        <f>"Договор №"&amp;Дано!B3&amp;" от "&amp;TEXT(Дано!B20,"[$-x-sysdate]ДДДД, ММММ ДД, ГГГГ")</f>
        <v>Договор №001-01/20 от 1 января 2020 г.</v>
      </c>
      <c r="D9" s="120"/>
      <c r="E9" s="120"/>
      <c r="F9" s="120"/>
      <c r="G9" s="120"/>
      <c r="H9" s="120"/>
      <c r="I9" s="120"/>
      <c r="J9" s="120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18" t="s">
        <v>3</v>
      </c>
      <c r="B11" s="118"/>
      <c r="C11" s="121" t="s">
        <v>12</v>
      </c>
      <c r="D11" s="121"/>
      <c r="E11" s="121"/>
      <c r="F11" s="121"/>
      <c r="G11" s="121"/>
      <c r="H11" s="121"/>
      <c r="I11" s="121"/>
      <c r="J11" s="121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22" t="s">
        <v>4</v>
      </c>
      <c r="B13" s="124" t="s">
        <v>5</v>
      </c>
      <c r="C13" s="125" t="s">
        <v>6</v>
      </c>
      <c r="D13" s="125"/>
      <c r="E13" s="125"/>
      <c r="F13" s="125"/>
      <c r="G13" s="125" t="s">
        <v>10</v>
      </c>
      <c r="H13" s="125" t="s">
        <v>9</v>
      </c>
      <c r="I13" s="125" t="s">
        <v>8</v>
      </c>
      <c r="J13" s="97" t="s">
        <v>7</v>
      </c>
    </row>
    <row r="14" spans="1:10" s="7" customFormat="1" ht="12.75" customHeight="1" x14ac:dyDescent="0.25">
      <c r="A14" s="123"/>
      <c r="B14" s="102"/>
      <c r="C14" s="126"/>
      <c r="D14" s="126"/>
      <c r="E14" s="126"/>
      <c r="F14" s="126"/>
      <c r="G14" s="126"/>
      <c r="H14" s="126"/>
      <c r="I14" s="126"/>
      <c r="J14" s="98"/>
    </row>
    <row r="15" spans="1:10" s="7" customFormat="1" ht="12.75" customHeight="1" x14ac:dyDescent="0.25">
      <c r="A15" s="99">
        <v>1</v>
      </c>
      <c r="B15" s="132" t="s">
        <v>18</v>
      </c>
      <c r="C15" s="103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104"/>
      <c r="E15" s="104"/>
      <c r="F15" s="105"/>
      <c r="G15" s="109" t="s">
        <v>358</v>
      </c>
      <c r="H15" s="109">
        <v>1</v>
      </c>
      <c r="I15" s="110">
        <f>Дано!B34</f>
        <v>2500</v>
      </c>
      <c r="J15" s="112">
        <f>I15*H15</f>
        <v>2500</v>
      </c>
    </row>
    <row r="16" spans="1:10" s="7" customFormat="1" ht="12.75" customHeight="1" x14ac:dyDescent="0.25">
      <c r="A16" s="100"/>
      <c r="B16" s="133"/>
      <c r="C16" s="106"/>
      <c r="D16" s="107"/>
      <c r="E16" s="107"/>
      <c r="F16" s="108"/>
      <c r="G16" s="102"/>
      <c r="H16" s="102"/>
      <c r="I16" s="111"/>
      <c r="J16" s="113"/>
    </row>
    <row r="17" spans="1:10" s="7" customFormat="1" ht="12.75" customHeight="1" thickBot="1" x14ac:dyDescent="0.3">
      <c r="A17" s="114" t="s">
        <v>359</v>
      </c>
      <c r="B17" s="115"/>
      <c r="C17" s="115"/>
      <c r="D17" s="115"/>
      <c r="E17" s="115"/>
      <c r="F17" s="115"/>
      <c r="G17" s="115"/>
      <c r="H17" s="115"/>
      <c r="I17" s="116"/>
      <c r="J17" s="10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17" t="s">
        <v>13</v>
      </c>
      <c r="B19" s="117"/>
      <c r="C19" s="117"/>
      <c r="D19" s="117"/>
      <c r="E19" s="117"/>
      <c r="F19" s="117"/>
      <c r="G19" s="117"/>
      <c r="H19" s="117"/>
      <c r="I19" s="117"/>
      <c r="J19" s="117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17" t="s">
        <v>14</v>
      </c>
      <c r="B21" s="117"/>
      <c r="C21" s="117"/>
      <c r="D21" s="117"/>
      <c r="E21" s="117"/>
      <c r="F21" s="117"/>
      <c r="G21" s="117"/>
      <c r="H21" s="117"/>
      <c r="I21" s="117"/>
      <c r="J21" s="117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18" t="s">
        <v>15</v>
      </c>
      <c r="B23" s="118"/>
      <c r="C23" s="119" t="str">
        <f>Дано!B35</f>
        <v>Две тысячи пятьсот сом, 00 тыйын</v>
      </c>
      <c r="D23" s="119"/>
      <c r="E23" s="119"/>
      <c r="F23" s="119"/>
      <c r="G23" s="119"/>
      <c r="H23" s="119"/>
      <c r="I23" s="119"/>
      <c r="J23" s="119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96" t="s">
        <v>17</v>
      </c>
      <c r="D26" s="96"/>
      <c r="E26" s="96"/>
      <c r="F26" s="96"/>
      <c r="G26" s="96"/>
      <c r="H26" s="96"/>
      <c r="I26" s="96"/>
      <c r="J26" s="96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2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2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25">
      <c r="A38" s="127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7"/>
      <c r="C38" s="127"/>
      <c r="D38" s="127"/>
      <c r="E38" s="127"/>
      <c r="F38" s="127"/>
      <c r="G38" s="127"/>
      <c r="H38" s="127"/>
      <c r="I38" s="127"/>
      <c r="J38" s="127"/>
    </row>
    <row r="39" spans="1:10" s="7" customFormat="1" ht="12.75" customHeight="1" x14ac:dyDescent="0.25">
      <c r="A39" s="127"/>
      <c r="B39" s="127"/>
      <c r="C39" s="127"/>
      <c r="D39" s="127"/>
      <c r="E39" s="127"/>
      <c r="F39" s="127"/>
      <c r="G39" s="127"/>
      <c r="H39" s="127"/>
      <c r="I39" s="127"/>
      <c r="J39" s="127"/>
    </row>
    <row r="40" spans="1:10" s="7" customFormat="1" ht="12.75" customHeight="1" x14ac:dyDescent="0.25">
      <c r="A40" s="127"/>
      <c r="B40" s="127"/>
      <c r="C40" s="127"/>
      <c r="D40" s="127"/>
      <c r="E40" s="127"/>
      <c r="F40" s="127"/>
      <c r="G40" s="127"/>
      <c r="H40" s="127"/>
      <c r="I40" s="127"/>
      <c r="J40" s="127"/>
    </row>
    <row r="41" spans="1:10" s="7" customFormat="1" ht="12.75" customHeight="1" x14ac:dyDescent="0.25">
      <c r="A41" s="128" t="s">
        <v>0</v>
      </c>
      <c r="B41" s="128"/>
      <c r="C41" s="128"/>
      <c r="D41" s="129">
        <f>D4</f>
        <v>43831</v>
      </c>
      <c r="F41" s="5"/>
      <c r="G41" s="2"/>
      <c r="H41" s="130">
        <f>H4</f>
        <v>43831</v>
      </c>
      <c r="I41" s="131"/>
      <c r="J41" s="131"/>
    </row>
    <row r="42" spans="1:10" s="7" customFormat="1" ht="12.75" customHeight="1" x14ac:dyDescent="0.25">
      <c r="A42" s="128"/>
      <c r="B42" s="128"/>
      <c r="C42" s="128"/>
      <c r="D42" s="129"/>
      <c r="E42" s="5"/>
      <c r="F42" s="5"/>
      <c r="G42" s="2"/>
      <c r="H42" s="131"/>
      <c r="I42" s="131"/>
      <c r="J42" s="131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18" t="s">
        <v>1</v>
      </c>
      <c r="B44" s="118"/>
      <c r="C44" s="120" t="str">
        <f>C7</f>
        <v>Навальный Алексей «ФБК»</v>
      </c>
      <c r="D44" s="120"/>
      <c r="E44" s="120"/>
      <c r="F44" s="120"/>
      <c r="G44" s="120"/>
      <c r="H44" s="120"/>
      <c r="I44" s="120"/>
      <c r="J44" s="120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18" t="s">
        <v>2</v>
      </c>
      <c r="B46" s="118"/>
      <c r="C46" s="120" t="str">
        <f>C9</f>
        <v>Договор №001-01/20 от 1 января 2020 г.</v>
      </c>
      <c r="D46" s="120"/>
      <c r="E46" s="120"/>
      <c r="F46" s="120"/>
      <c r="G46" s="120"/>
      <c r="H46" s="120"/>
      <c r="I46" s="120"/>
      <c r="J46" s="120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18" t="s">
        <v>3</v>
      </c>
      <c r="B48" s="118"/>
      <c r="C48" s="121" t="str">
        <f>C11</f>
        <v>____________________________________</v>
      </c>
      <c r="D48" s="121"/>
      <c r="E48" s="121"/>
      <c r="F48" s="121"/>
      <c r="G48" s="121"/>
      <c r="H48" s="121"/>
      <c r="I48" s="121"/>
      <c r="J48" s="121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22" t="s">
        <v>4</v>
      </c>
      <c r="B50" s="124" t="s">
        <v>5</v>
      </c>
      <c r="C50" s="125" t="s">
        <v>6</v>
      </c>
      <c r="D50" s="125"/>
      <c r="E50" s="125"/>
      <c r="F50" s="125"/>
      <c r="G50" s="125" t="s">
        <v>10</v>
      </c>
      <c r="H50" s="125" t="s">
        <v>9</v>
      </c>
      <c r="I50" s="125" t="s">
        <v>8</v>
      </c>
      <c r="J50" s="97" t="s">
        <v>7</v>
      </c>
    </row>
    <row r="51" spans="1:10" s="7" customFormat="1" ht="12.75" customHeight="1" x14ac:dyDescent="0.25">
      <c r="A51" s="123"/>
      <c r="B51" s="102"/>
      <c r="C51" s="126"/>
      <c r="D51" s="126"/>
      <c r="E51" s="126"/>
      <c r="F51" s="126"/>
      <c r="G51" s="126"/>
      <c r="H51" s="126"/>
      <c r="I51" s="126"/>
      <c r="J51" s="98"/>
    </row>
    <row r="52" spans="1:10" s="7" customFormat="1" ht="12.75" customHeight="1" x14ac:dyDescent="0.25">
      <c r="A52" s="99">
        <v>1</v>
      </c>
      <c r="B52" s="101" t="str">
        <f>B15</f>
        <v>00001</v>
      </c>
      <c r="C52" s="103" t="str">
        <f>C15</f>
        <v>Экспертиза и оценка: Транспортное средство Subaru Outback, 08KG848ААА</v>
      </c>
      <c r="D52" s="104"/>
      <c r="E52" s="104"/>
      <c r="F52" s="105"/>
      <c r="G52" s="109" t="str">
        <f>G15</f>
        <v>шт.</v>
      </c>
      <c r="H52" s="109">
        <f>H15</f>
        <v>1</v>
      </c>
      <c r="I52" s="110">
        <f>I15</f>
        <v>2500</v>
      </c>
      <c r="J52" s="112">
        <f>I52*H52</f>
        <v>2500</v>
      </c>
    </row>
    <row r="53" spans="1:10" s="7" customFormat="1" ht="12.75" customHeight="1" x14ac:dyDescent="0.25">
      <c r="A53" s="100"/>
      <c r="B53" s="102"/>
      <c r="C53" s="106"/>
      <c r="D53" s="107"/>
      <c r="E53" s="107"/>
      <c r="F53" s="108"/>
      <c r="G53" s="102"/>
      <c r="H53" s="102"/>
      <c r="I53" s="111"/>
      <c r="J53" s="113"/>
    </row>
    <row r="54" spans="1:10" s="7" customFormat="1" ht="12.75" customHeight="1" thickBot="1" x14ac:dyDescent="0.3">
      <c r="A54" s="114" t="s">
        <v>359</v>
      </c>
      <c r="B54" s="115"/>
      <c r="C54" s="115"/>
      <c r="D54" s="115"/>
      <c r="E54" s="115"/>
      <c r="F54" s="115"/>
      <c r="G54" s="115"/>
      <c r="H54" s="115"/>
      <c r="I54" s="116"/>
      <c r="J54" s="10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17" t="s">
        <v>13</v>
      </c>
      <c r="B56" s="117"/>
      <c r="C56" s="117"/>
      <c r="D56" s="117"/>
      <c r="E56" s="117"/>
      <c r="F56" s="117"/>
      <c r="G56" s="117"/>
      <c r="H56" s="117"/>
      <c r="I56" s="117"/>
      <c r="J56" s="117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17" t="s">
        <v>14</v>
      </c>
      <c r="B58" s="117"/>
      <c r="C58" s="117"/>
      <c r="D58" s="117"/>
      <c r="E58" s="117"/>
      <c r="F58" s="117"/>
      <c r="G58" s="117"/>
      <c r="H58" s="117"/>
      <c r="I58" s="117"/>
      <c r="J58" s="117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18" t="s">
        <v>15</v>
      </c>
      <c r="B60" s="118"/>
      <c r="C60" s="119" t="str">
        <f>C23</f>
        <v>Две тысячи пятьсот сом, 00 тыйын</v>
      </c>
      <c r="D60" s="119"/>
      <c r="E60" s="119"/>
      <c r="F60" s="119"/>
      <c r="G60" s="119"/>
      <c r="H60" s="119"/>
      <c r="I60" s="119"/>
      <c r="J60" s="119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96" t="s">
        <v>17</v>
      </c>
      <c r="D63" s="96"/>
      <c r="E63" s="96"/>
      <c r="F63" s="96"/>
      <c r="G63" s="96"/>
      <c r="H63" s="96"/>
      <c r="I63" s="96"/>
      <c r="J63" s="96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2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2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2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2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2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2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2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2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2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2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2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2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2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A13:A14"/>
    <mergeCell ref="A7:B7"/>
    <mergeCell ref="A9:B9"/>
    <mergeCell ref="A11:B11"/>
    <mergeCell ref="B13:B14"/>
    <mergeCell ref="H4:J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topLeftCell="A22" zoomScale="120" zoomScaleNormal="100" zoomScaleSheetLayoutView="120" workbookViewId="0">
      <selection activeCell="I31" sqref="I31"/>
    </sheetView>
  </sheetViews>
  <sheetFormatPr defaultColWidth="9.28515625" defaultRowHeight="12.75" x14ac:dyDescent="0.2"/>
  <cols>
    <col min="1" max="1" width="3.28515625" style="1" customWidth="1"/>
    <col min="2" max="10" width="10.28515625" style="1" customWidth="1"/>
    <col min="11" max="16384" width="9.28515625" style="1"/>
  </cols>
  <sheetData>
    <row r="1" spans="1:10" s="7" customFormat="1" ht="12.75" customHeight="1" x14ac:dyDescent="0.25">
      <c r="A1" s="127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27"/>
      <c r="C1" s="127"/>
      <c r="D1" s="127"/>
      <c r="E1" s="127"/>
      <c r="F1" s="127"/>
      <c r="G1" s="127"/>
      <c r="H1" s="127"/>
      <c r="I1" s="127"/>
      <c r="J1" s="127"/>
    </row>
    <row r="2" spans="1:10" s="7" customFormat="1" ht="12.75" customHeight="1" x14ac:dyDescent="0.25">
      <c r="A2" s="127"/>
      <c r="B2" s="127"/>
      <c r="C2" s="127"/>
      <c r="D2" s="127"/>
      <c r="E2" s="127"/>
      <c r="F2" s="127"/>
      <c r="G2" s="127"/>
      <c r="H2" s="127"/>
      <c r="I2" s="127"/>
      <c r="J2" s="127"/>
    </row>
    <row r="3" spans="1:10" s="7" customFormat="1" ht="12.75" customHeight="1" x14ac:dyDescent="0.25">
      <c r="A3" s="127"/>
      <c r="B3" s="127"/>
      <c r="C3" s="127"/>
      <c r="D3" s="127"/>
      <c r="E3" s="127"/>
      <c r="F3" s="127"/>
      <c r="G3" s="127"/>
      <c r="H3" s="127"/>
      <c r="I3" s="127"/>
      <c r="J3" s="127"/>
    </row>
    <row r="4" spans="1:10" s="7" customFormat="1" ht="12.75" customHeight="1" x14ac:dyDescent="0.25">
      <c r="A4" s="128" t="s">
        <v>19</v>
      </c>
      <c r="B4" s="128"/>
      <c r="C4" s="128"/>
      <c r="D4" s="145" t="str">
        <f>LEFT(Дано!B3,3)</f>
        <v>001</v>
      </c>
      <c r="F4" s="5"/>
      <c r="G4" s="2"/>
      <c r="H4" s="130">
        <f ca="1">TODAY()</f>
        <v>43908</v>
      </c>
      <c r="I4" s="131"/>
      <c r="J4" s="131"/>
    </row>
    <row r="5" spans="1:10" s="7" customFormat="1" ht="12.75" customHeight="1" x14ac:dyDescent="0.25">
      <c r="A5" s="128"/>
      <c r="B5" s="128"/>
      <c r="C5" s="128"/>
      <c r="D5" s="145"/>
      <c r="E5" s="5"/>
      <c r="F5" s="5"/>
      <c r="G5" s="2"/>
      <c r="H5" s="131"/>
      <c r="I5" s="131"/>
      <c r="J5" s="131"/>
    </row>
    <row r="6" spans="1:10" s="7" customFormat="1" ht="6.4" customHeight="1" x14ac:dyDescent="0.2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25">
      <c r="A7" s="118" t="s">
        <v>1</v>
      </c>
      <c r="B7" s="118"/>
      <c r="C7" s="120" t="str">
        <f>счёт!C7:J7</f>
        <v>Навальный Алексей «ФБК»</v>
      </c>
      <c r="D7" s="120"/>
      <c r="E7" s="120"/>
      <c r="F7" s="120"/>
      <c r="G7" s="120"/>
      <c r="H7" s="120"/>
      <c r="I7" s="120"/>
      <c r="J7" s="120"/>
    </row>
    <row r="8" spans="1:10" s="7" customFormat="1" ht="6.4" customHeight="1" x14ac:dyDescent="0.2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25">
      <c r="A9" s="118" t="s">
        <v>2</v>
      </c>
      <c r="B9" s="118"/>
      <c r="C9" s="120" t="str">
        <f>счёт!C9:J9</f>
        <v>Договор №001-01/20 от 1 января 2020 г.</v>
      </c>
      <c r="D9" s="120"/>
      <c r="E9" s="120"/>
      <c r="F9" s="120"/>
      <c r="G9" s="120"/>
      <c r="H9" s="120"/>
      <c r="I9" s="120"/>
      <c r="J9" s="120"/>
    </row>
    <row r="10" spans="1:10" s="7" customFormat="1" ht="6.4" customHeight="1" x14ac:dyDescent="0.2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25">
      <c r="A11" s="118" t="s">
        <v>3</v>
      </c>
      <c r="B11" s="118"/>
      <c r="C11" s="121" t="s">
        <v>12</v>
      </c>
      <c r="D11" s="121"/>
      <c r="E11" s="121"/>
      <c r="F11" s="121"/>
      <c r="G11" s="121"/>
      <c r="H11" s="121"/>
      <c r="I11" s="121"/>
      <c r="J11" s="121"/>
    </row>
    <row r="12" spans="1:10" s="7" customFormat="1" ht="12.75" customHeight="1" thickBot="1" x14ac:dyDescent="0.3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25">
      <c r="A13" s="139" t="s">
        <v>4</v>
      </c>
      <c r="B13" s="141" t="s">
        <v>5</v>
      </c>
      <c r="C13" s="143" t="s">
        <v>6</v>
      </c>
      <c r="D13" s="143"/>
      <c r="E13" s="143"/>
      <c r="F13" s="143"/>
      <c r="G13" s="143" t="s">
        <v>10</v>
      </c>
      <c r="H13" s="143" t="s">
        <v>9</v>
      </c>
      <c r="I13" s="143" t="s">
        <v>8</v>
      </c>
      <c r="J13" s="134" t="s">
        <v>7</v>
      </c>
    </row>
    <row r="14" spans="1:10" s="7" customFormat="1" ht="12.75" customHeight="1" x14ac:dyDescent="0.25">
      <c r="A14" s="140"/>
      <c r="B14" s="142"/>
      <c r="C14" s="144"/>
      <c r="D14" s="144"/>
      <c r="E14" s="144"/>
      <c r="F14" s="144"/>
      <c r="G14" s="144"/>
      <c r="H14" s="144"/>
      <c r="I14" s="144"/>
      <c r="J14" s="135"/>
    </row>
    <row r="15" spans="1:10" s="7" customFormat="1" ht="12.75" customHeight="1" x14ac:dyDescent="0.25">
      <c r="A15" s="99">
        <v>1</v>
      </c>
      <c r="B15" s="132" t="str">
        <f>счёт!B15:B16</f>
        <v>00001</v>
      </c>
      <c r="C15" s="103" t="str">
        <f>счёт!C15:F16</f>
        <v>Экспертиза и оценка: Транспортное средство Subaru Outback, 08KG848ААА</v>
      </c>
      <c r="D15" s="104"/>
      <c r="E15" s="104"/>
      <c r="F15" s="105"/>
      <c r="G15" s="109" t="s">
        <v>358</v>
      </c>
      <c r="H15" s="109">
        <f>счёт!H15:H16</f>
        <v>1</v>
      </c>
      <c r="I15" s="110">
        <f>счёт!I15:I16</f>
        <v>2500</v>
      </c>
      <c r="J15" s="112">
        <f>I15*H15</f>
        <v>2500</v>
      </c>
    </row>
    <row r="16" spans="1:10" s="7" customFormat="1" ht="12.75" customHeight="1" x14ac:dyDescent="0.25">
      <c r="A16" s="100"/>
      <c r="B16" s="133"/>
      <c r="C16" s="106"/>
      <c r="D16" s="107"/>
      <c r="E16" s="107"/>
      <c r="F16" s="108"/>
      <c r="G16" s="102"/>
      <c r="H16" s="102"/>
      <c r="I16" s="111"/>
      <c r="J16" s="113"/>
    </row>
    <row r="17" spans="1:10" s="7" customFormat="1" ht="12.75" customHeight="1" thickBot="1" x14ac:dyDescent="0.3">
      <c r="A17" s="136" t="s">
        <v>359</v>
      </c>
      <c r="B17" s="137"/>
      <c r="C17" s="137"/>
      <c r="D17" s="137"/>
      <c r="E17" s="137"/>
      <c r="F17" s="137"/>
      <c r="G17" s="137"/>
      <c r="H17" s="137"/>
      <c r="I17" s="138"/>
      <c r="J17" s="13">
        <f>J15</f>
        <v>2500</v>
      </c>
    </row>
    <row r="18" spans="1:10" s="7" customFormat="1" ht="6.4" customHeight="1" x14ac:dyDescent="0.2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25">
      <c r="A19" s="117" t="s">
        <v>13</v>
      </c>
      <c r="B19" s="117"/>
      <c r="C19" s="117"/>
      <c r="D19" s="117"/>
      <c r="E19" s="117"/>
      <c r="F19" s="117"/>
      <c r="G19" s="117"/>
      <c r="H19" s="117"/>
      <c r="I19" s="117"/>
      <c r="J19" s="117"/>
    </row>
    <row r="20" spans="1:10" s="7" customFormat="1" ht="6.4" customHeight="1" x14ac:dyDescent="0.2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25">
      <c r="A21" s="117" t="s">
        <v>14</v>
      </c>
      <c r="B21" s="117"/>
      <c r="C21" s="117"/>
      <c r="D21" s="117"/>
      <c r="E21" s="117"/>
      <c r="F21" s="117"/>
      <c r="G21" s="117"/>
      <c r="H21" s="117"/>
      <c r="I21" s="117"/>
      <c r="J21" s="117"/>
    </row>
    <row r="22" spans="1:10" s="7" customFormat="1" ht="12.75" customHeight="1" x14ac:dyDescent="0.2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25">
      <c r="A23" s="118" t="s">
        <v>15</v>
      </c>
      <c r="B23" s="118"/>
      <c r="C23" s="119" t="str">
        <f>счёт!C23:J23</f>
        <v>Две тысячи пятьсот сом, 00 тыйын</v>
      </c>
      <c r="D23" s="119"/>
      <c r="E23" s="119"/>
      <c r="F23" s="119"/>
      <c r="G23" s="119"/>
      <c r="H23" s="119"/>
      <c r="I23" s="119"/>
      <c r="J23" s="119"/>
    </row>
    <row r="24" spans="1:10" s="7" customFormat="1" x14ac:dyDescent="0.2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2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25">
      <c r="B26" s="2"/>
      <c r="C26" s="96" t="s">
        <v>17</v>
      </c>
      <c r="D26" s="96"/>
      <c r="E26" s="96"/>
      <c r="F26" s="96"/>
      <c r="G26" s="96"/>
      <c r="H26" s="96"/>
      <c r="I26" s="96"/>
      <c r="J26" s="96"/>
    </row>
    <row r="27" spans="1:10" s="7" customFormat="1" x14ac:dyDescent="0.2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2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2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2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2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2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2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2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2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25">
      <c r="A38" s="127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7"/>
      <c r="C38" s="127"/>
      <c r="D38" s="127"/>
      <c r="E38" s="127"/>
      <c r="F38" s="127"/>
      <c r="G38" s="127"/>
      <c r="H38" s="127"/>
      <c r="I38" s="127"/>
      <c r="J38" s="127"/>
    </row>
    <row r="39" spans="1:10" s="7" customFormat="1" ht="12.75" customHeight="1" x14ac:dyDescent="0.25">
      <c r="A39" s="127"/>
      <c r="B39" s="127"/>
      <c r="C39" s="127"/>
      <c r="D39" s="127"/>
      <c r="E39" s="127"/>
      <c r="F39" s="127"/>
      <c r="G39" s="127"/>
      <c r="H39" s="127"/>
      <c r="I39" s="127"/>
      <c r="J39" s="127"/>
    </row>
    <row r="40" spans="1:10" s="7" customFormat="1" ht="12.75" customHeight="1" x14ac:dyDescent="0.25">
      <c r="A40" s="127"/>
      <c r="B40" s="127"/>
      <c r="C40" s="127"/>
      <c r="D40" s="127"/>
      <c r="E40" s="127"/>
      <c r="F40" s="127"/>
      <c r="G40" s="127"/>
      <c r="H40" s="127"/>
      <c r="I40" s="127"/>
      <c r="J40" s="127"/>
    </row>
    <row r="41" spans="1:10" s="7" customFormat="1" ht="12.75" customHeight="1" x14ac:dyDescent="0.25">
      <c r="A41" s="128" t="s">
        <v>19</v>
      </c>
      <c r="B41" s="128"/>
      <c r="C41" s="128"/>
      <c r="D41" s="129" t="str">
        <f>D4</f>
        <v>001</v>
      </c>
      <c r="F41" s="5"/>
      <c r="G41" s="2"/>
      <c r="H41" s="130">
        <f ca="1">H4</f>
        <v>43908</v>
      </c>
      <c r="I41" s="131"/>
      <c r="J41" s="131"/>
    </row>
    <row r="42" spans="1:10" s="7" customFormat="1" ht="12.75" customHeight="1" x14ac:dyDescent="0.25">
      <c r="A42" s="128"/>
      <c r="B42" s="128"/>
      <c r="C42" s="128"/>
      <c r="D42" s="129"/>
      <c r="E42" s="5"/>
      <c r="F42" s="5"/>
      <c r="G42" s="2"/>
      <c r="H42" s="131"/>
      <c r="I42" s="131"/>
      <c r="J42" s="131"/>
    </row>
    <row r="43" spans="1:10" s="7" customFormat="1" ht="6.4" customHeight="1" x14ac:dyDescent="0.2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25">
      <c r="A44" s="118" t="s">
        <v>1</v>
      </c>
      <c r="B44" s="118"/>
      <c r="C44" s="120" t="str">
        <f>C7</f>
        <v>Навальный Алексей «ФБК»</v>
      </c>
      <c r="D44" s="120"/>
      <c r="E44" s="120"/>
      <c r="F44" s="120"/>
      <c r="G44" s="120"/>
      <c r="H44" s="120"/>
      <c r="I44" s="120"/>
      <c r="J44" s="120"/>
    </row>
    <row r="45" spans="1:10" s="7" customFormat="1" ht="6.4" customHeight="1" x14ac:dyDescent="0.2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25">
      <c r="A46" s="118" t="s">
        <v>2</v>
      </c>
      <c r="B46" s="118"/>
      <c r="C46" s="120" t="str">
        <f>C9</f>
        <v>Договор №001-01/20 от 1 января 2020 г.</v>
      </c>
      <c r="D46" s="120"/>
      <c r="E46" s="120"/>
      <c r="F46" s="120"/>
      <c r="G46" s="120"/>
      <c r="H46" s="120"/>
      <c r="I46" s="120"/>
      <c r="J46" s="120"/>
    </row>
    <row r="47" spans="1:10" s="7" customFormat="1" ht="6.4" customHeight="1" x14ac:dyDescent="0.2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25">
      <c r="A48" s="118" t="s">
        <v>3</v>
      </c>
      <c r="B48" s="118"/>
      <c r="C48" s="121" t="str">
        <f>C11</f>
        <v>____________________________________</v>
      </c>
      <c r="D48" s="121"/>
      <c r="E48" s="121"/>
      <c r="F48" s="121"/>
      <c r="G48" s="121"/>
      <c r="H48" s="121"/>
      <c r="I48" s="121"/>
      <c r="J48" s="121"/>
    </row>
    <row r="49" spans="1:10" s="7" customFormat="1" ht="12.75" customHeight="1" thickBot="1" x14ac:dyDescent="0.3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25">
      <c r="A50" s="139" t="s">
        <v>4</v>
      </c>
      <c r="B50" s="141" t="s">
        <v>5</v>
      </c>
      <c r="C50" s="143" t="s">
        <v>6</v>
      </c>
      <c r="D50" s="143"/>
      <c r="E50" s="143"/>
      <c r="F50" s="143"/>
      <c r="G50" s="143" t="s">
        <v>10</v>
      </c>
      <c r="H50" s="143" t="s">
        <v>9</v>
      </c>
      <c r="I50" s="143" t="s">
        <v>8</v>
      </c>
      <c r="J50" s="134" t="s">
        <v>7</v>
      </c>
    </row>
    <row r="51" spans="1:10" s="7" customFormat="1" ht="12.75" customHeight="1" x14ac:dyDescent="0.25">
      <c r="A51" s="140"/>
      <c r="B51" s="142"/>
      <c r="C51" s="144"/>
      <c r="D51" s="144"/>
      <c r="E51" s="144"/>
      <c r="F51" s="144"/>
      <c r="G51" s="144"/>
      <c r="H51" s="144"/>
      <c r="I51" s="144"/>
      <c r="J51" s="135"/>
    </row>
    <row r="52" spans="1:10" s="7" customFormat="1" ht="12.75" customHeight="1" x14ac:dyDescent="0.25">
      <c r="A52" s="99">
        <v>1</v>
      </c>
      <c r="B52" s="101" t="str">
        <f>B15</f>
        <v>00001</v>
      </c>
      <c r="C52" s="103" t="str">
        <f>C15</f>
        <v>Экспертиза и оценка: Транспортное средство Subaru Outback, 08KG848ААА</v>
      </c>
      <c r="D52" s="104"/>
      <c r="E52" s="104"/>
      <c r="F52" s="105"/>
      <c r="G52" s="109" t="str">
        <f>G15</f>
        <v>шт.</v>
      </c>
      <c r="H52" s="109">
        <f>H15</f>
        <v>1</v>
      </c>
      <c r="I52" s="110">
        <f>I15</f>
        <v>2500</v>
      </c>
      <c r="J52" s="112">
        <f>I52*H52</f>
        <v>2500</v>
      </c>
    </row>
    <row r="53" spans="1:10" s="7" customFormat="1" ht="12.75" customHeight="1" x14ac:dyDescent="0.25">
      <c r="A53" s="100"/>
      <c r="B53" s="102"/>
      <c r="C53" s="106"/>
      <c r="D53" s="107"/>
      <c r="E53" s="107"/>
      <c r="F53" s="108"/>
      <c r="G53" s="102"/>
      <c r="H53" s="102"/>
      <c r="I53" s="111"/>
      <c r="J53" s="113"/>
    </row>
    <row r="54" spans="1:10" s="7" customFormat="1" ht="12.75" customHeight="1" thickBot="1" x14ac:dyDescent="0.3">
      <c r="A54" s="136" t="s">
        <v>359</v>
      </c>
      <c r="B54" s="137"/>
      <c r="C54" s="137"/>
      <c r="D54" s="137"/>
      <c r="E54" s="137"/>
      <c r="F54" s="137"/>
      <c r="G54" s="137"/>
      <c r="H54" s="137"/>
      <c r="I54" s="138"/>
      <c r="J54" s="13">
        <f>J52</f>
        <v>2500</v>
      </c>
    </row>
    <row r="55" spans="1:10" s="7" customFormat="1" ht="6.4" customHeight="1" x14ac:dyDescent="0.2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25">
      <c r="A56" s="117" t="s">
        <v>13</v>
      </c>
      <c r="B56" s="117"/>
      <c r="C56" s="117"/>
      <c r="D56" s="117"/>
      <c r="E56" s="117"/>
      <c r="F56" s="117"/>
      <c r="G56" s="117"/>
      <c r="H56" s="117"/>
      <c r="I56" s="117"/>
      <c r="J56" s="117"/>
    </row>
    <row r="57" spans="1:10" s="7" customFormat="1" ht="6.4" customHeight="1" x14ac:dyDescent="0.2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25">
      <c r="A58" s="117" t="s">
        <v>14</v>
      </c>
      <c r="B58" s="117"/>
      <c r="C58" s="117"/>
      <c r="D58" s="117"/>
      <c r="E58" s="117"/>
      <c r="F58" s="117"/>
      <c r="G58" s="117"/>
      <c r="H58" s="117"/>
      <c r="I58" s="117"/>
      <c r="J58" s="117"/>
    </row>
    <row r="59" spans="1:10" s="7" customFormat="1" ht="12.75" customHeight="1" x14ac:dyDescent="0.2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25">
      <c r="A60" s="118" t="s">
        <v>15</v>
      </c>
      <c r="B60" s="118"/>
      <c r="C60" s="119" t="str">
        <f>C23</f>
        <v>Две тысячи пятьсот сом, 00 тыйын</v>
      </c>
      <c r="D60" s="119"/>
      <c r="E60" s="119"/>
      <c r="F60" s="119"/>
      <c r="G60" s="119"/>
      <c r="H60" s="119"/>
      <c r="I60" s="119"/>
      <c r="J60" s="119"/>
    </row>
    <row r="61" spans="1:10" s="7" customFormat="1" x14ac:dyDescent="0.2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2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25">
      <c r="B63" s="2"/>
      <c r="C63" s="96" t="s">
        <v>17</v>
      </c>
      <c r="D63" s="96"/>
      <c r="E63" s="96"/>
      <c r="F63" s="96"/>
      <c r="G63" s="96"/>
      <c r="H63" s="96"/>
      <c r="I63" s="96"/>
      <c r="J63" s="96"/>
    </row>
    <row r="64" spans="1:10" s="7" customFormat="1" x14ac:dyDescent="0.2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2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2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2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2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2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2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2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2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2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2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2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2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2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2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2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2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2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2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2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2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2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2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2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2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2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2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2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2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2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2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2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2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2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2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2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2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2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2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2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2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2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2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H4:J5"/>
    <mergeCell ref="A7:B7"/>
    <mergeCell ref="C7:J7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activeCell="B11" sqref="B11:C12"/>
    </sheetView>
  </sheetViews>
  <sheetFormatPr defaultColWidth="9.28515625" defaultRowHeight="12.75" customHeight="1" x14ac:dyDescent="0.25"/>
  <cols>
    <col min="1" max="1" width="8.7109375" style="8" customWidth="1"/>
    <col min="2" max="2" width="2.7109375" style="8" customWidth="1"/>
    <col min="3" max="3" width="8.7109375" style="8" customWidth="1"/>
    <col min="4" max="4" width="3.7109375" style="8" customWidth="1"/>
    <col min="5" max="6" width="8.7109375" style="8" customWidth="1"/>
    <col min="7" max="7" width="11.7109375" style="8" customWidth="1"/>
    <col min="8" max="8" width="8.7109375" style="8" customWidth="1"/>
    <col min="9" max="9" width="3.7109375" style="8" customWidth="1"/>
    <col min="10" max="10" width="0.7109375" style="8" customWidth="1"/>
    <col min="11" max="11" width="2.28515625" style="8" customWidth="1"/>
    <col min="12" max="12" width="10.28515625" style="8" customWidth="1"/>
    <col min="13" max="13" width="3.7109375" style="8" customWidth="1"/>
    <col min="14" max="14" width="2.7109375" style="8" customWidth="1"/>
    <col min="15" max="15" width="10.28515625" style="8" customWidth="1"/>
    <col min="16" max="16384" width="9.28515625" style="8"/>
  </cols>
  <sheetData>
    <row r="1" spans="1:15" ht="12.75" customHeight="1" x14ac:dyDescent="0.25">
      <c r="A1" s="181" t="s">
        <v>20</v>
      </c>
      <c r="B1" s="181"/>
      <c r="C1" s="181"/>
      <c r="D1" s="181"/>
      <c r="E1" s="181"/>
      <c r="F1" s="181"/>
      <c r="H1" s="183" t="s">
        <v>23</v>
      </c>
      <c r="I1" s="183"/>
      <c r="J1" s="22"/>
      <c r="K1" s="149" t="s">
        <v>39</v>
      </c>
      <c r="L1" s="181" t="s">
        <v>20</v>
      </c>
      <c r="M1" s="181"/>
      <c r="N1" s="181"/>
      <c r="O1" s="181"/>
    </row>
    <row r="2" spans="1:15" ht="12.75" customHeight="1" x14ac:dyDescent="0.25">
      <c r="A2" s="182" t="s">
        <v>21</v>
      </c>
      <c r="B2" s="182"/>
      <c r="C2" s="182"/>
      <c r="D2" s="182"/>
      <c r="E2" s="182"/>
      <c r="F2" s="182"/>
      <c r="H2" s="185"/>
      <c r="I2" s="185"/>
      <c r="J2" s="23"/>
      <c r="K2" s="149"/>
      <c r="L2" s="182" t="s">
        <v>21</v>
      </c>
      <c r="M2" s="182"/>
      <c r="N2" s="182"/>
      <c r="O2" s="182"/>
    </row>
    <row r="3" spans="1:15" ht="12.75" customHeight="1" x14ac:dyDescent="0.25">
      <c r="H3" s="185" t="s">
        <v>32</v>
      </c>
      <c r="I3" s="185"/>
      <c r="J3" s="23"/>
      <c r="K3" s="149"/>
    </row>
    <row r="4" spans="1:15" ht="12.75" customHeight="1" x14ac:dyDescent="0.25">
      <c r="H4" s="158"/>
      <c r="I4" s="184"/>
      <c r="J4" s="24"/>
      <c r="K4" s="149"/>
      <c r="L4" s="162" t="s">
        <v>29</v>
      </c>
      <c r="M4" s="162"/>
      <c r="N4" s="162"/>
      <c r="O4" s="162"/>
    </row>
    <row r="5" spans="1:15" ht="12.75" customHeight="1" thickBot="1" x14ac:dyDescent="0.3">
      <c r="A5" s="162" t="s">
        <v>22</v>
      </c>
      <c r="B5" s="162"/>
      <c r="C5" s="162"/>
      <c r="D5" s="162"/>
      <c r="E5" s="162"/>
      <c r="F5" s="162"/>
      <c r="K5" s="149"/>
      <c r="L5" s="162" t="s">
        <v>30</v>
      </c>
      <c r="M5" s="162"/>
      <c r="N5" s="162"/>
      <c r="O5" s="162"/>
    </row>
    <row r="6" spans="1:15" ht="12.75" customHeight="1" x14ac:dyDescent="0.25">
      <c r="A6" s="170" t="s">
        <v>24</v>
      </c>
      <c r="B6" s="172" t="s">
        <v>25</v>
      </c>
      <c r="C6" s="173"/>
      <c r="D6" s="165"/>
      <c r="E6" s="163" t="s">
        <v>31</v>
      </c>
      <c r="F6" s="163" t="s">
        <v>26</v>
      </c>
      <c r="G6" s="163" t="s">
        <v>27</v>
      </c>
      <c r="H6" s="163" t="s">
        <v>28</v>
      </c>
      <c r="I6" s="178"/>
      <c r="J6" s="14"/>
      <c r="K6" s="149"/>
      <c r="M6" s="21" t="s">
        <v>4</v>
      </c>
      <c r="N6" s="179" t="str">
        <f>A11</f>
        <v>001</v>
      </c>
      <c r="O6" s="180"/>
    </row>
    <row r="7" spans="1:15" ht="12.75" customHeight="1" x14ac:dyDescent="0.25">
      <c r="A7" s="171"/>
      <c r="B7" s="174"/>
      <c r="C7" s="175"/>
      <c r="D7" s="166"/>
      <c r="E7" s="164"/>
      <c r="F7" s="164"/>
      <c r="G7" s="164"/>
      <c r="H7" s="164"/>
      <c r="I7" s="160"/>
      <c r="J7" s="14"/>
      <c r="K7" s="149"/>
      <c r="O7" s="20"/>
    </row>
    <row r="8" spans="1:15" ht="12.75" customHeight="1" x14ac:dyDescent="0.25">
      <c r="A8" s="171"/>
      <c r="B8" s="174"/>
      <c r="C8" s="175"/>
      <c r="D8" s="166"/>
      <c r="E8" s="164"/>
      <c r="F8" s="164"/>
      <c r="G8" s="164"/>
      <c r="H8" s="164"/>
      <c r="I8" s="160"/>
      <c r="J8" s="14"/>
      <c r="K8" s="149"/>
      <c r="L8" s="146" t="s">
        <v>33</v>
      </c>
      <c r="M8" s="146"/>
      <c r="N8" s="96"/>
      <c r="O8" s="96"/>
    </row>
    <row r="9" spans="1:15" ht="12.75" customHeight="1" x14ac:dyDescent="0.25">
      <c r="A9" s="171"/>
      <c r="B9" s="174"/>
      <c r="C9" s="175"/>
      <c r="D9" s="166"/>
      <c r="E9" s="164"/>
      <c r="F9" s="164"/>
      <c r="G9" s="164"/>
      <c r="H9" s="164"/>
      <c r="I9" s="160"/>
      <c r="J9" s="14"/>
      <c r="K9" s="149"/>
      <c r="L9" s="154" t="str">
        <f>C14</f>
        <v>Навальный Алексей «ФБК»</v>
      </c>
      <c r="M9" s="155"/>
      <c r="N9" s="155"/>
      <c r="O9" s="155"/>
    </row>
    <row r="10" spans="1:15" ht="12.75" customHeight="1" x14ac:dyDescent="0.25">
      <c r="A10" s="171"/>
      <c r="B10" s="176"/>
      <c r="C10" s="177"/>
      <c r="D10" s="166"/>
      <c r="E10" s="164"/>
      <c r="F10" s="164"/>
      <c r="G10" s="164"/>
      <c r="H10" s="164"/>
      <c r="I10" s="160"/>
      <c r="J10" s="14"/>
      <c r="K10" s="149"/>
      <c r="L10" s="154"/>
      <c r="M10" s="155"/>
      <c r="N10" s="155"/>
      <c r="O10" s="155"/>
    </row>
    <row r="11" spans="1:15" ht="12.75" customHeight="1" x14ac:dyDescent="0.25">
      <c r="A11" s="167" t="str">
        <f>факт!D4</f>
        <v>001</v>
      </c>
      <c r="B11" s="150">
        <f ca="1">факт!H4</f>
        <v>43908</v>
      </c>
      <c r="C11" s="151"/>
      <c r="D11" s="158"/>
      <c r="E11" s="158"/>
      <c r="F11" s="158"/>
      <c r="G11" s="169">
        <f>факт!J17</f>
        <v>2500</v>
      </c>
      <c r="H11" s="158"/>
      <c r="I11" s="160"/>
      <c r="J11" s="14"/>
      <c r="K11" s="149"/>
      <c r="L11" s="154"/>
      <c r="M11" s="155"/>
      <c r="N11" s="155"/>
      <c r="O11" s="155"/>
    </row>
    <row r="12" spans="1:15" ht="12.75" customHeight="1" thickBot="1" x14ac:dyDescent="0.3">
      <c r="A12" s="168"/>
      <c r="B12" s="152"/>
      <c r="C12" s="153"/>
      <c r="D12" s="159"/>
      <c r="E12" s="159"/>
      <c r="F12" s="159"/>
      <c r="G12" s="159"/>
      <c r="H12" s="159"/>
      <c r="I12" s="161"/>
      <c r="J12" s="14"/>
      <c r="K12" s="149"/>
      <c r="L12" s="146" t="s">
        <v>2</v>
      </c>
      <c r="M12" s="146"/>
      <c r="N12" s="96"/>
      <c r="O12" s="96"/>
    </row>
    <row r="13" spans="1:15" ht="12.75" customHeight="1" x14ac:dyDescent="0.25">
      <c r="K13" s="149"/>
      <c r="L13" s="154" t="str">
        <f>C17</f>
        <v>Договор №001-01/20 от 1 января 2020 г.</v>
      </c>
      <c r="M13" s="155"/>
      <c r="N13" s="155"/>
      <c r="O13" s="155"/>
    </row>
    <row r="14" spans="1:15" ht="12.75" customHeight="1" x14ac:dyDescent="0.25">
      <c r="A14" s="146" t="s">
        <v>33</v>
      </c>
      <c r="B14" s="146"/>
      <c r="C14" s="147" t="str">
        <f>факт!C7:J7</f>
        <v>Навальный Алексей «ФБК»</v>
      </c>
      <c r="D14" s="147"/>
      <c r="E14" s="147"/>
      <c r="F14" s="147"/>
      <c r="G14" s="147"/>
      <c r="H14" s="147"/>
      <c r="I14" s="148"/>
      <c r="J14" s="25"/>
      <c r="K14" s="149"/>
      <c r="L14" s="154"/>
      <c r="M14" s="155"/>
      <c r="N14" s="155"/>
      <c r="O14" s="155"/>
    </row>
    <row r="15" spans="1:15" ht="12.75" customHeight="1" x14ac:dyDescent="0.25">
      <c r="A15" s="15"/>
      <c r="B15" s="15"/>
      <c r="C15" s="147"/>
      <c r="D15" s="147"/>
      <c r="E15" s="147"/>
      <c r="F15" s="147"/>
      <c r="G15" s="147"/>
      <c r="H15" s="147"/>
      <c r="I15" s="148"/>
      <c r="J15" s="25"/>
      <c r="K15" s="149"/>
      <c r="L15" s="154"/>
      <c r="M15" s="155"/>
      <c r="N15" s="155"/>
      <c r="O15" s="155"/>
    </row>
    <row r="16" spans="1:15" ht="12.75" customHeight="1" x14ac:dyDescent="0.25">
      <c r="A16" s="15"/>
      <c r="B16" s="15"/>
      <c r="K16" s="149"/>
      <c r="L16" s="146" t="s">
        <v>34</v>
      </c>
      <c r="M16" s="146"/>
      <c r="N16" s="96"/>
      <c r="O16" s="96"/>
    </row>
    <row r="17" spans="1:15" ht="12.75" customHeight="1" x14ac:dyDescent="0.25">
      <c r="A17" s="146" t="s">
        <v>2</v>
      </c>
      <c r="B17" s="146"/>
      <c r="C17" s="147" t="str">
        <f>факт!C9:J9</f>
        <v>Договор №001-01/20 от 1 января 2020 г.</v>
      </c>
      <c r="D17" s="147"/>
      <c r="E17" s="147"/>
      <c r="F17" s="147"/>
      <c r="G17" s="147"/>
      <c r="H17" s="147"/>
      <c r="I17" s="148"/>
      <c r="J17" s="25"/>
      <c r="K17" s="149"/>
      <c r="L17" s="154" t="str">
        <f>C20</f>
        <v>Две тысячи пятьсот сом, 00 тыйын</v>
      </c>
      <c r="M17" s="155"/>
      <c r="N17" s="155"/>
      <c r="O17" s="155"/>
    </row>
    <row r="18" spans="1:15" ht="12.75" customHeight="1" x14ac:dyDescent="0.25">
      <c r="A18" s="15"/>
      <c r="B18" s="15"/>
      <c r="C18" s="147"/>
      <c r="D18" s="147"/>
      <c r="E18" s="147"/>
      <c r="F18" s="147"/>
      <c r="G18" s="147"/>
      <c r="H18" s="147"/>
      <c r="I18" s="148"/>
      <c r="J18" s="25"/>
      <c r="K18" s="149"/>
      <c r="L18" s="154"/>
      <c r="M18" s="155"/>
      <c r="N18" s="155"/>
      <c r="O18" s="155"/>
    </row>
    <row r="19" spans="1:15" ht="12.75" customHeight="1" x14ac:dyDescent="0.25">
      <c r="A19" s="15"/>
      <c r="B19" s="15"/>
      <c r="K19" s="149"/>
      <c r="L19" s="154"/>
      <c r="M19" s="155"/>
      <c r="N19" s="155"/>
      <c r="O19" s="155"/>
    </row>
    <row r="20" spans="1:15" ht="12.75" customHeight="1" x14ac:dyDescent="0.25">
      <c r="A20" s="146" t="s">
        <v>34</v>
      </c>
      <c r="B20" s="146"/>
      <c r="C20" s="147" t="str">
        <f>факт!C23:J23</f>
        <v>Две тысячи пятьсот сом, 00 тыйын</v>
      </c>
      <c r="D20" s="147"/>
      <c r="E20" s="147"/>
      <c r="F20" s="147"/>
      <c r="G20" s="147"/>
      <c r="H20" s="147"/>
      <c r="I20" s="148"/>
      <c r="J20" s="25"/>
      <c r="K20" s="149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25">
      <c r="A21" s="15"/>
      <c r="B21" s="15"/>
      <c r="C21" s="147"/>
      <c r="D21" s="147"/>
      <c r="E21" s="147"/>
      <c r="F21" s="147"/>
      <c r="G21" s="147"/>
      <c r="H21" s="147"/>
      <c r="I21" s="148"/>
      <c r="J21" s="25"/>
      <c r="K21" s="149"/>
      <c r="L21" s="27"/>
      <c r="M21" s="27"/>
      <c r="N21" s="16"/>
      <c r="O21" s="16"/>
    </row>
    <row r="22" spans="1:15" ht="12.75" customHeight="1" x14ac:dyDescent="0.25">
      <c r="A22" s="15"/>
      <c r="B22" s="15"/>
      <c r="K22" s="149"/>
    </row>
    <row r="23" spans="1:15" ht="12.75" customHeight="1" x14ac:dyDescent="0.25">
      <c r="A23" s="146" t="s">
        <v>36</v>
      </c>
      <c r="B23" s="146"/>
      <c r="C23" s="147" t="str">
        <f>факт!C15</f>
        <v>Экспертиза и оценка: Транспортное средство Subaru Outback, 08KG848ААА</v>
      </c>
      <c r="D23" s="147"/>
      <c r="E23" s="147"/>
      <c r="F23" s="147"/>
      <c r="G23" s="147"/>
      <c r="H23" s="147"/>
      <c r="I23" s="148"/>
      <c r="J23" s="25"/>
      <c r="K23" s="149"/>
      <c r="L23" s="156">
        <f ca="1">B11</f>
        <v>43908</v>
      </c>
      <c r="M23" s="156"/>
      <c r="N23" s="157"/>
      <c r="O23" s="157"/>
    </row>
    <row r="24" spans="1:15" ht="12.75" customHeight="1" x14ac:dyDescent="0.25">
      <c r="A24" s="14"/>
      <c r="B24" s="14"/>
      <c r="C24" s="147"/>
      <c r="D24" s="147"/>
      <c r="E24" s="147"/>
      <c r="F24" s="147"/>
      <c r="G24" s="147"/>
      <c r="H24" s="147"/>
      <c r="I24" s="148"/>
      <c r="J24" s="25"/>
      <c r="K24" s="149"/>
    </row>
    <row r="25" spans="1:15" ht="12.75" customHeight="1" x14ac:dyDescent="0.25">
      <c r="A25" s="14"/>
      <c r="B25" s="14"/>
      <c r="C25" s="147"/>
      <c r="D25" s="147"/>
      <c r="E25" s="147"/>
      <c r="F25" s="147"/>
      <c r="G25" s="147"/>
      <c r="H25" s="147"/>
      <c r="I25" s="148"/>
      <c r="J25" s="25"/>
      <c r="K25" s="149"/>
    </row>
    <row r="26" spans="1:15" ht="12.75" customHeight="1" x14ac:dyDescent="0.25">
      <c r="A26" s="14"/>
      <c r="B26" s="14"/>
      <c r="C26" s="147"/>
      <c r="D26" s="147"/>
      <c r="E26" s="147"/>
      <c r="F26" s="147"/>
      <c r="G26" s="147"/>
      <c r="H26" s="147"/>
      <c r="I26" s="148"/>
      <c r="J26" s="25"/>
      <c r="K26" s="149"/>
      <c r="L26" s="8" t="s">
        <v>16</v>
      </c>
    </row>
    <row r="27" spans="1:15" ht="12.75" customHeight="1" x14ac:dyDescent="0.25">
      <c r="A27" s="14"/>
      <c r="B27" s="14"/>
      <c r="C27" s="147"/>
      <c r="D27" s="147"/>
      <c r="E27" s="147"/>
      <c r="F27" s="147"/>
      <c r="G27" s="147"/>
      <c r="H27" s="147"/>
      <c r="I27" s="148"/>
      <c r="J27" s="25"/>
      <c r="K27" s="149"/>
    </row>
    <row r="28" spans="1:15" ht="12.75" customHeight="1" x14ac:dyDescent="0.25">
      <c r="A28" s="14"/>
      <c r="B28" s="14"/>
      <c r="K28" s="149"/>
    </row>
    <row r="29" spans="1:15" ht="12.75" customHeight="1" x14ac:dyDescent="0.25">
      <c r="A29" s="146" t="s">
        <v>35</v>
      </c>
      <c r="B29" s="146"/>
      <c r="C29" s="146"/>
      <c r="D29" s="146"/>
      <c r="E29" s="146"/>
      <c r="F29" s="146"/>
      <c r="G29" s="146"/>
      <c r="H29" s="146"/>
      <c r="I29" s="146"/>
      <c r="J29" s="15"/>
      <c r="K29" s="149"/>
      <c r="L29" s="146" t="s">
        <v>35</v>
      </c>
      <c r="M29" s="146"/>
      <c r="N29" s="96"/>
      <c r="O29" s="96"/>
    </row>
    <row r="30" spans="1:15" ht="12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9"/>
    </row>
    <row r="31" spans="1:15" ht="12.75" customHeight="1" x14ac:dyDescent="0.25">
      <c r="K31" s="26"/>
    </row>
    <row r="32" spans="1:15" ht="12.75" customHeight="1" x14ac:dyDescent="0.25">
      <c r="K32" s="26"/>
    </row>
  </sheetData>
  <mergeCells count="46"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L29:O29"/>
    <mergeCell ref="H11:H12"/>
    <mergeCell ref="I11:I12"/>
    <mergeCell ref="L9:O11"/>
    <mergeCell ref="L13:O15"/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</mergeCells>
  <pageMargins left="0.39370078740157483" right="0.39370078740157483" top="0.39370078740157483" bottom="0.39370078740157483" header="0" footer="0"/>
  <pageSetup paperSize="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8"/>
  <sheetViews>
    <sheetView topLeftCell="C1" workbookViewId="0">
      <selection activeCell="N3" sqref="N3"/>
    </sheetView>
  </sheetViews>
  <sheetFormatPr defaultColWidth="9.28515625" defaultRowHeight="15" x14ac:dyDescent="0.25"/>
  <cols>
    <col min="1" max="1" width="3" style="32" bestFit="1" customWidth="1"/>
    <col min="2" max="2" width="56.28515625" style="32" bestFit="1" customWidth="1"/>
    <col min="3" max="3" width="7" style="32" bestFit="1" customWidth="1"/>
    <col min="4" max="4" width="11.28515625" style="32" bestFit="1" customWidth="1"/>
    <col min="5" max="5" width="11.5703125" style="32" bestFit="1" customWidth="1"/>
    <col min="6" max="6" width="9.28515625" style="32"/>
    <col min="7" max="13" width="11.7109375" style="32" customWidth="1"/>
    <col min="14" max="16384" width="9.28515625" style="32"/>
  </cols>
  <sheetData>
    <row r="1" spans="1:14" x14ac:dyDescent="0.25">
      <c r="A1" s="73" t="s">
        <v>4</v>
      </c>
      <c r="B1" s="73" t="s">
        <v>72</v>
      </c>
      <c r="C1" s="73" t="s">
        <v>73</v>
      </c>
      <c r="D1" s="73" t="s">
        <v>74</v>
      </c>
      <c r="E1" s="73" t="s">
        <v>75</v>
      </c>
      <c r="F1" s="69"/>
      <c r="G1" s="70" t="s">
        <v>175</v>
      </c>
      <c r="H1" s="70" t="s">
        <v>176</v>
      </c>
      <c r="I1" s="70" t="s">
        <v>177</v>
      </c>
      <c r="J1" s="70" t="s">
        <v>178</v>
      </c>
      <c r="K1" s="70" t="s">
        <v>355</v>
      </c>
      <c r="L1" s="70" t="s">
        <v>179</v>
      </c>
      <c r="M1" s="70" t="s">
        <v>180</v>
      </c>
      <c r="N1" s="70" t="s">
        <v>181</v>
      </c>
    </row>
    <row r="2" spans="1:14" x14ac:dyDescent="0.25">
      <c r="A2" s="38">
        <v>1</v>
      </c>
      <c r="B2" s="38"/>
      <c r="C2" s="38">
        <v>1</v>
      </c>
      <c r="D2" s="38">
        <v>0</v>
      </c>
      <c r="E2" s="33">
        <f>C2*D2*$G$2</f>
        <v>0</v>
      </c>
      <c r="G2" s="71">
        <v>550</v>
      </c>
      <c r="H2" s="72">
        <f>E42</f>
        <v>0</v>
      </c>
      <c r="I2" s="72">
        <f>E65</f>
        <v>0</v>
      </c>
      <c r="J2" s="72">
        <f>E108</f>
        <v>0</v>
      </c>
      <c r="K2" s="72">
        <f>УТС!E27</f>
        <v>0</v>
      </c>
      <c r="L2" s="75">
        <f>H2+I2+J2</f>
        <v>0</v>
      </c>
      <c r="M2" s="71">
        <f>ROUND(L2/N2,2)</f>
        <v>0</v>
      </c>
      <c r="N2" s="71">
        <v>72.900000000000006</v>
      </c>
    </row>
    <row r="3" spans="1:14" x14ac:dyDescent="0.25">
      <c r="A3" s="38">
        <v>2</v>
      </c>
      <c r="B3" s="38"/>
      <c r="C3" s="38">
        <v>1</v>
      </c>
      <c r="D3" s="38">
        <v>0</v>
      </c>
      <c r="E3" s="33">
        <f t="shared" ref="E3:E41" si="0">C3*D3*$G$2</f>
        <v>0</v>
      </c>
    </row>
    <row r="4" spans="1:14" x14ac:dyDescent="0.25">
      <c r="A4" s="38">
        <v>3</v>
      </c>
      <c r="B4" s="38"/>
      <c r="C4" s="38">
        <v>1</v>
      </c>
      <c r="D4" s="38">
        <v>0</v>
      </c>
      <c r="E4" s="33">
        <f t="shared" si="0"/>
        <v>0</v>
      </c>
    </row>
    <row r="5" spans="1:14" x14ac:dyDescent="0.25">
      <c r="A5" s="38">
        <v>4</v>
      </c>
      <c r="B5" s="38"/>
      <c r="C5" s="38">
        <v>1</v>
      </c>
      <c r="D5" s="38">
        <v>0</v>
      </c>
      <c r="E5" s="33">
        <f t="shared" si="0"/>
        <v>0</v>
      </c>
    </row>
    <row r="6" spans="1:14" x14ac:dyDescent="0.25">
      <c r="A6" s="38">
        <v>5</v>
      </c>
      <c r="B6" s="38"/>
      <c r="C6" s="38">
        <v>1</v>
      </c>
      <c r="D6" s="38">
        <v>0</v>
      </c>
      <c r="E6" s="33">
        <f t="shared" si="0"/>
        <v>0</v>
      </c>
    </row>
    <row r="7" spans="1:14" x14ac:dyDescent="0.25">
      <c r="A7" s="38">
        <v>6</v>
      </c>
      <c r="B7" s="38"/>
      <c r="C7" s="38">
        <v>1</v>
      </c>
      <c r="D7" s="38">
        <v>0</v>
      </c>
      <c r="E7" s="33">
        <f t="shared" si="0"/>
        <v>0</v>
      </c>
    </row>
    <row r="8" spans="1:14" x14ac:dyDescent="0.25">
      <c r="A8" s="38">
        <v>7</v>
      </c>
      <c r="B8" s="38"/>
      <c r="C8" s="38">
        <v>1</v>
      </c>
      <c r="D8" s="38">
        <v>0</v>
      </c>
      <c r="E8" s="33">
        <f t="shared" si="0"/>
        <v>0</v>
      </c>
    </row>
    <row r="9" spans="1:14" x14ac:dyDescent="0.25">
      <c r="A9" s="38">
        <v>8</v>
      </c>
      <c r="B9" s="38"/>
      <c r="C9" s="38">
        <v>1</v>
      </c>
      <c r="D9" s="38">
        <v>0</v>
      </c>
      <c r="E9" s="33">
        <f t="shared" si="0"/>
        <v>0</v>
      </c>
    </row>
    <row r="10" spans="1:14" x14ac:dyDescent="0.25">
      <c r="A10" s="38">
        <v>9</v>
      </c>
      <c r="B10" s="38"/>
      <c r="C10" s="38">
        <v>1</v>
      </c>
      <c r="D10" s="38">
        <v>0</v>
      </c>
      <c r="E10" s="33">
        <f t="shared" si="0"/>
        <v>0</v>
      </c>
    </row>
    <row r="11" spans="1:14" x14ac:dyDescent="0.25">
      <c r="A11" s="38">
        <v>10</v>
      </c>
      <c r="B11" s="38"/>
      <c r="C11" s="38">
        <v>1</v>
      </c>
      <c r="D11" s="38">
        <v>0</v>
      </c>
      <c r="E11" s="33">
        <f t="shared" si="0"/>
        <v>0</v>
      </c>
    </row>
    <row r="12" spans="1:14" x14ac:dyDescent="0.25">
      <c r="A12" s="38">
        <v>11</v>
      </c>
      <c r="B12" s="38"/>
      <c r="C12" s="38">
        <v>1</v>
      </c>
      <c r="D12" s="38">
        <v>0</v>
      </c>
      <c r="E12" s="33">
        <f t="shared" si="0"/>
        <v>0</v>
      </c>
    </row>
    <row r="13" spans="1:14" x14ac:dyDescent="0.25">
      <c r="A13" s="38">
        <v>12</v>
      </c>
      <c r="B13" s="38"/>
      <c r="C13" s="38">
        <v>1</v>
      </c>
      <c r="D13" s="38">
        <v>0</v>
      </c>
      <c r="E13" s="33">
        <f t="shared" si="0"/>
        <v>0</v>
      </c>
    </row>
    <row r="14" spans="1:14" x14ac:dyDescent="0.25">
      <c r="A14" s="38">
        <v>13</v>
      </c>
      <c r="B14" s="38"/>
      <c r="C14" s="38">
        <v>1</v>
      </c>
      <c r="D14" s="38">
        <v>0</v>
      </c>
      <c r="E14" s="33">
        <f t="shared" si="0"/>
        <v>0</v>
      </c>
    </row>
    <row r="15" spans="1:14" x14ac:dyDescent="0.25">
      <c r="A15" s="38">
        <v>14</v>
      </c>
      <c r="B15" s="38"/>
      <c r="C15" s="38">
        <v>1</v>
      </c>
      <c r="D15" s="38">
        <v>0</v>
      </c>
      <c r="E15" s="33">
        <f t="shared" si="0"/>
        <v>0</v>
      </c>
    </row>
    <row r="16" spans="1:14" x14ac:dyDescent="0.25">
      <c r="A16" s="38">
        <v>15</v>
      </c>
      <c r="B16" s="38"/>
      <c r="C16" s="38">
        <v>1</v>
      </c>
      <c r="D16" s="38">
        <v>0</v>
      </c>
      <c r="E16" s="33">
        <f t="shared" si="0"/>
        <v>0</v>
      </c>
      <c r="H16" s="55"/>
    </row>
    <row r="17" spans="1:5" x14ac:dyDescent="0.25">
      <c r="A17" s="38">
        <v>16</v>
      </c>
      <c r="B17" s="38"/>
      <c r="C17" s="38">
        <v>1</v>
      </c>
      <c r="D17" s="38">
        <v>0</v>
      </c>
      <c r="E17" s="33">
        <f t="shared" si="0"/>
        <v>0</v>
      </c>
    </row>
    <row r="18" spans="1:5" x14ac:dyDescent="0.25">
      <c r="A18" s="38">
        <v>17</v>
      </c>
      <c r="B18" s="38"/>
      <c r="C18" s="38">
        <v>1</v>
      </c>
      <c r="D18" s="38">
        <v>0</v>
      </c>
      <c r="E18" s="33">
        <f t="shared" si="0"/>
        <v>0</v>
      </c>
    </row>
    <row r="19" spans="1:5" x14ac:dyDescent="0.25">
      <c r="A19" s="38">
        <v>18</v>
      </c>
      <c r="B19" s="38"/>
      <c r="C19" s="38">
        <v>1</v>
      </c>
      <c r="D19" s="38">
        <v>0</v>
      </c>
      <c r="E19" s="33">
        <f t="shared" si="0"/>
        <v>0</v>
      </c>
    </row>
    <row r="20" spans="1:5" x14ac:dyDescent="0.25">
      <c r="A20" s="38">
        <v>19</v>
      </c>
      <c r="B20" s="38"/>
      <c r="C20" s="38">
        <v>1</v>
      </c>
      <c r="D20" s="38">
        <v>0</v>
      </c>
      <c r="E20" s="33">
        <f t="shared" si="0"/>
        <v>0</v>
      </c>
    </row>
    <row r="21" spans="1:5" x14ac:dyDescent="0.25">
      <c r="A21" s="38">
        <v>20</v>
      </c>
      <c r="B21" s="38"/>
      <c r="C21" s="38">
        <v>1</v>
      </c>
      <c r="D21" s="38">
        <v>0</v>
      </c>
      <c r="E21" s="33">
        <f t="shared" si="0"/>
        <v>0</v>
      </c>
    </row>
    <row r="22" spans="1:5" x14ac:dyDescent="0.25">
      <c r="A22" s="38">
        <v>21</v>
      </c>
      <c r="B22" s="38"/>
      <c r="C22" s="38">
        <v>1</v>
      </c>
      <c r="D22" s="38">
        <v>0</v>
      </c>
      <c r="E22" s="33">
        <f t="shared" si="0"/>
        <v>0</v>
      </c>
    </row>
    <row r="23" spans="1:5" x14ac:dyDescent="0.25">
      <c r="A23" s="38">
        <v>22</v>
      </c>
      <c r="B23" s="38"/>
      <c r="C23" s="38">
        <v>1</v>
      </c>
      <c r="D23" s="38">
        <v>0</v>
      </c>
      <c r="E23" s="33">
        <f t="shared" si="0"/>
        <v>0</v>
      </c>
    </row>
    <row r="24" spans="1:5" x14ac:dyDescent="0.25">
      <c r="A24" s="38">
        <v>23</v>
      </c>
      <c r="B24" s="38"/>
      <c r="C24" s="38">
        <v>1</v>
      </c>
      <c r="D24" s="38">
        <v>0</v>
      </c>
      <c r="E24" s="33">
        <f t="shared" si="0"/>
        <v>0</v>
      </c>
    </row>
    <row r="25" spans="1:5" x14ac:dyDescent="0.25">
      <c r="A25" s="38">
        <v>24</v>
      </c>
      <c r="B25" s="38"/>
      <c r="C25" s="38">
        <v>1</v>
      </c>
      <c r="D25" s="38">
        <v>0</v>
      </c>
      <c r="E25" s="33">
        <f t="shared" si="0"/>
        <v>0</v>
      </c>
    </row>
    <row r="26" spans="1:5" x14ac:dyDescent="0.25">
      <c r="A26" s="38">
        <v>25</v>
      </c>
      <c r="B26" s="38"/>
      <c r="C26" s="38">
        <v>1</v>
      </c>
      <c r="D26" s="38">
        <v>0</v>
      </c>
      <c r="E26" s="33">
        <f t="shared" si="0"/>
        <v>0</v>
      </c>
    </row>
    <row r="27" spans="1:5" x14ac:dyDescent="0.25">
      <c r="A27" s="38">
        <v>26</v>
      </c>
      <c r="B27" s="38"/>
      <c r="C27" s="38">
        <v>1</v>
      </c>
      <c r="D27" s="38">
        <v>0</v>
      </c>
      <c r="E27" s="33">
        <f t="shared" si="0"/>
        <v>0</v>
      </c>
    </row>
    <row r="28" spans="1:5" x14ac:dyDescent="0.25">
      <c r="A28" s="38">
        <v>27</v>
      </c>
      <c r="B28" s="38"/>
      <c r="C28" s="38">
        <v>1</v>
      </c>
      <c r="D28" s="38">
        <v>0</v>
      </c>
      <c r="E28" s="33">
        <f t="shared" si="0"/>
        <v>0</v>
      </c>
    </row>
    <row r="29" spans="1:5" x14ac:dyDescent="0.25">
      <c r="A29" s="38">
        <v>28</v>
      </c>
      <c r="B29" s="38"/>
      <c r="C29" s="38">
        <v>1</v>
      </c>
      <c r="D29" s="38">
        <v>0</v>
      </c>
      <c r="E29" s="33">
        <f t="shared" si="0"/>
        <v>0</v>
      </c>
    </row>
    <row r="30" spans="1:5" x14ac:dyDescent="0.25">
      <c r="A30" s="38">
        <v>29</v>
      </c>
      <c r="B30" s="38"/>
      <c r="C30" s="38">
        <v>1</v>
      </c>
      <c r="D30" s="38">
        <v>0</v>
      </c>
      <c r="E30" s="33">
        <f t="shared" si="0"/>
        <v>0</v>
      </c>
    </row>
    <row r="31" spans="1:5" x14ac:dyDescent="0.25">
      <c r="A31" s="38">
        <v>30</v>
      </c>
      <c r="B31" s="38"/>
      <c r="C31" s="38">
        <v>1</v>
      </c>
      <c r="D31" s="38">
        <v>0</v>
      </c>
      <c r="E31" s="33">
        <f t="shared" ref="E31:E40" si="1">C31*D31*$G$2</f>
        <v>0</v>
      </c>
    </row>
    <row r="32" spans="1:5" x14ac:dyDescent="0.25">
      <c r="A32" s="38">
        <v>31</v>
      </c>
      <c r="B32" s="38"/>
      <c r="C32" s="38">
        <v>1</v>
      </c>
      <c r="D32" s="38">
        <v>0</v>
      </c>
      <c r="E32" s="33">
        <f t="shared" si="1"/>
        <v>0</v>
      </c>
    </row>
    <row r="33" spans="1:5" x14ac:dyDescent="0.25">
      <c r="A33" s="38">
        <v>32</v>
      </c>
      <c r="B33" s="38"/>
      <c r="C33" s="38">
        <v>1</v>
      </c>
      <c r="D33" s="38">
        <v>0</v>
      </c>
      <c r="E33" s="33">
        <f t="shared" si="1"/>
        <v>0</v>
      </c>
    </row>
    <row r="34" spans="1:5" x14ac:dyDescent="0.25">
      <c r="A34" s="38">
        <v>33</v>
      </c>
      <c r="B34" s="38"/>
      <c r="C34" s="38">
        <v>1</v>
      </c>
      <c r="D34" s="38">
        <v>0</v>
      </c>
      <c r="E34" s="33">
        <f t="shared" si="1"/>
        <v>0</v>
      </c>
    </row>
    <row r="35" spans="1:5" x14ac:dyDescent="0.25">
      <c r="A35" s="38">
        <v>34</v>
      </c>
      <c r="B35" s="38"/>
      <c r="C35" s="38">
        <v>1</v>
      </c>
      <c r="D35" s="38">
        <v>0</v>
      </c>
      <c r="E35" s="33">
        <f t="shared" si="1"/>
        <v>0</v>
      </c>
    </row>
    <row r="36" spans="1:5" x14ac:dyDescent="0.25">
      <c r="A36" s="38">
        <v>35</v>
      </c>
      <c r="B36" s="38"/>
      <c r="C36" s="38">
        <v>1</v>
      </c>
      <c r="D36" s="38">
        <v>0</v>
      </c>
      <c r="E36" s="33">
        <f t="shared" si="1"/>
        <v>0</v>
      </c>
    </row>
    <row r="37" spans="1:5" x14ac:dyDescent="0.25">
      <c r="A37" s="38">
        <v>36</v>
      </c>
      <c r="B37" s="38"/>
      <c r="C37" s="38">
        <v>1</v>
      </c>
      <c r="D37" s="38">
        <v>0</v>
      </c>
      <c r="E37" s="33">
        <f t="shared" si="1"/>
        <v>0</v>
      </c>
    </row>
    <row r="38" spans="1:5" x14ac:dyDescent="0.25">
      <c r="A38" s="38">
        <v>37</v>
      </c>
      <c r="B38" s="38"/>
      <c r="C38" s="38">
        <v>1</v>
      </c>
      <c r="D38" s="38">
        <v>0</v>
      </c>
      <c r="E38" s="33">
        <f t="shared" si="1"/>
        <v>0</v>
      </c>
    </row>
    <row r="39" spans="1:5" x14ac:dyDescent="0.25">
      <c r="A39" s="38">
        <v>38</v>
      </c>
      <c r="B39" s="38"/>
      <c r="C39" s="38">
        <v>1</v>
      </c>
      <c r="D39" s="38">
        <v>0</v>
      </c>
      <c r="E39" s="33">
        <f t="shared" si="1"/>
        <v>0</v>
      </c>
    </row>
    <row r="40" spans="1:5" x14ac:dyDescent="0.25">
      <c r="A40" s="38">
        <v>39</v>
      </c>
      <c r="B40" s="38"/>
      <c r="C40" s="38">
        <v>1</v>
      </c>
      <c r="D40" s="38">
        <v>0</v>
      </c>
      <c r="E40" s="33">
        <f t="shared" si="1"/>
        <v>0</v>
      </c>
    </row>
    <row r="41" spans="1:5" x14ac:dyDescent="0.25">
      <c r="A41" s="38">
        <v>40</v>
      </c>
      <c r="B41" s="38"/>
      <c r="C41" s="38">
        <v>1</v>
      </c>
      <c r="D41" s="38">
        <v>0</v>
      </c>
      <c r="E41" s="33">
        <f t="shared" si="0"/>
        <v>0</v>
      </c>
    </row>
    <row r="42" spans="1:5" x14ac:dyDescent="0.25">
      <c r="E42" s="74">
        <f>SUM(E2:E41)</f>
        <v>0</v>
      </c>
    </row>
    <row r="44" spans="1:5" x14ac:dyDescent="0.25">
      <c r="A44" s="73" t="s">
        <v>4</v>
      </c>
      <c r="B44" s="73" t="s">
        <v>76</v>
      </c>
      <c r="C44" s="73" t="s">
        <v>73</v>
      </c>
      <c r="D44" s="73" t="s">
        <v>77</v>
      </c>
      <c r="E44" s="73" t="s">
        <v>75</v>
      </c>
    </row>
    <row r="45" spans="1:5" x14ac:dyDescent="0.25">
      <c r="A45" s="38">
        <v>1</v>
      </c>
      <c r="B45" s="38"/>
      <c r="C45" s="38">
        <v>1</v>
      </c>
      <c r="D45" s="33">
        <v>0</v>
      </c>
      <c r="E45" s="33">
        <f>C45*D45</f>
        <v>0</v>
      </c>
    </row>
    <row r="46" spans="1:5" x14ac:dyDescent="0.25">
      <c r="A46" s="38">
        <v>2</v>
      </c>
      <c r="B46" s="38"/>
      <c r="C46" s="38">
        <v>1</v>
      </c>
      <c r="D46" s="33">
        <v>0</v>
      </c>
      <c r="E46" s="33">
        <f t="shared" ref="E46:E64" si="2">C46*D46</f>
        <v>0</v>
      </c>
    </row>
    <row r="47" spans="1:5" x14ac:dyDescent="0.25">
      <c r="A47" s="38">
        <v>3</v>
      </c>
      <c r="B47" s="38"/>
      <c r="C47" s="38">
        <v>1</v>
      </c>
      <c r="D47" s="33">
        <v>0</v>
      </c>
      <c r="E47" s="33">
        <f t="shared" si="2"/>
        <v>0</v>
      </c>
    </row>
    <row r="48" spans="1:5" x14ac:dyDescent="0.25">
      <c r="A48" s="38">
        <v>4</v>
      </c>
      <c r="B48" s="38"/>
      <c r="C48" s="38">
        <v>1</v>
      </c>
      <c r="D48" s="33">
        <v>0</v>
      </c>
      <c r="E48" s="33">
        <f t="shared" si="2"/>
        <v>0</v>
      </c>
    </row>
    <row r="49" spans="1:5" x14ac:dyDescent="0.25">
      <c r="A49" s="38">
        <v>5</v>
      </c>
      <c r="B49" s="38"/>
      <c r="C49" s="38">
        <v>1</v>
      </c>
      <c r="D49" s="33">
        <v>0</v>
      </c>
      <c r="E49" s="33">
        <f t="shared" si="2"/>
        <v>0</v>
      </c>
    </row>
    <row r="50" spans="1:5" x14ac:dyDescent="0.25">
      <c r="A50" s="38">
        <v>6</v>
      </c>
      <c r="B50" s="38"/>
      <c r="C50" s="38">
        <v>1</v>
      </c>
      <c r="D50" s="33">
        <v>0</v>
      </c>
      <c r="E50" s="33">
        <f t="shared" si="2"/>
        <v>0</v>
      </c>
    </row>
    <row r="51" spans="1:5" x14ac:dyDescent="0.25">
      <c r="A51" s="38">
        <v>7</v>
      </c>
      <c r="B51" s="38"/>
      <c r="C51" s="38">
        <v>1</v>
      </c>
      <c r="D51" s="33">
        <v>0</v>
      </c>
      <c r="E51" s="33">
        <f t="shared" si="2"/>
        <v>0</v>
      </c>
    </row>
    <row r="52" spans="1:5" x14ac:dyDescent="0.25">
      <c r="A52" s="38">
        <v>8</v>
      </c>
      <c r="B52" s="38"/>
      <c r="C52" s="38">
        <v>1</v>
      </c>
      <c r="D52" s="33">
        <v>0</v>
      </c>
      <c r="E52" s="33">
        <f t="shared" si="2"/>
        <v>0</v>
      </c>
    </row>
    <row r="53" spans="1:5" x14ac:dyDescent="0.25">
      <c r="A53" s="38">
        <v>9</v>
      </c>
      <c r="B53" s="38"/>
      <c r="C53" s="38">
        <v>1</v>
      </c>
      <c r="D53" s="33">
        <v>0</v>
      </c>
      <c r="E53" s="33">
        <f t="shared" si="2"/>
        <v>0</v>
      </c>
    </row>
    <row r="54" spans="1:5" x14ac:dyDescent="0.25">
      <c r="A54" s="38">
        <v>10</v>
      </c>
      <c r="B54" s="38"/>
      <c r="C54" s="38">
        <v>1</v>
      </c>
      <c r="D54" s="33">
        <v>0</v>
      </c>
      <c r="E54" s="33">
        <f t="shared" si="2"/>
        <v>0</v>
      </c>
    </row>
    <row r="55" spans="1:5" x14ac:dyDescent="0.25">
      <c r="A55" s="38">
        <v>11</v>
      </c>
      <c r="B55" s="38"/>
      <c r="C55" s="38">
        <v>1</v>
      </c>
      <c r="D55" s="33">
        <v>0</v>
      </c>
      <c r="E55" s="33">
        <f t="shared" ref="E55:E59" si="3">C55*D55</f>
        <v>0</v>
      </c>
    </row>
    <row r="56" spans="1:5" x14ac:dyDescent="0.25">
      <c r="A56" s="38">
        <v>12</v>
      </c>
      <c r="B56" s="38"/>
      <c r="C56" s="38">
        <v>1</v>
      </c>
      <c r="D56" s="33">
        <v>0</v>
      </c>
      <c r="E56" s="33">
        <f t="shared" si="3"/>
        <v>0</v>
      </c>
    </row>
    <row r="57" spans="1:5" x14ac:dyDescent="0.25">
      <c r="A57" s="38">
        <v>13</v>
      </c>
      <c r="B57" s="38"/>
      <c r="C57" s="38">
        <v>1</v>
      </c>
      <c r="D57" s="33">
        <v>0</v>
      </c>
      <c r="E57" s="33">
        <f t="shared" si="3"/>
        <v>0</v>
      </c>
    </row>
    <row r="58" spans="1:5" x14ac:dyDescent="0.25">
      <c r="A58" s="38">
        <v>14</v>
      </c>
      <c r="B58" s="38"/>
      <c r="C58" s="38">
        <v>1</v>
      </c>
      <c r="D58" s="33">
        <v>0</v>
      </c>
      <c r="E58" s="33">
        <f t="shared" si="3"/>
        <v>0</v>
      </c>
    </row>
    <row r="59" spans="1:5" x14ac:dyDescent="0.25">
      <c r="A59" s="38">
        <v>15</v>
      </c>
      <c r="B59" s="38"/>
      <c r="C59" s="38">
        <v>1</v>
      </c>
      <c r="D59" s="33">
        <v>0</v>
      </c>
      <c r="E59" s="33">
        <f t="shared" si="3"/>
        <v>0</v>
      </c>
    </row>
    <row r="60" spans="1:5" x14ac:dyDescent="0.25">
      <c r="A60" s="38">
        <v>16</v>
      </c>
      <c r="B60" s="38"/>
      <c r="C60" s="38">
        <v>1</v>
      </c>
      <c r="D60" s="33">
        <v>0</v>
      </c>
      <c r="E60" s="33">
        <f t="shared" si="2"/>
        <v>0</v>
      </c>
    </row>
    <row r="61" spans="1:5" x14ac:dyDescent="0.25">
      <c r="A61" s="38">
        <v>17</v>
      </c>
      <c r="B61" s="38"/>
      <c r="C61" s="38">
        <v>1</v>
      </c>
      <c r="D61" s="33">
        <v>0</v>
      </c>
      <c r="E61" s="33">
        <f t="shared" si="2"/>
        <v>0</v>
      </c>
    </row>
    <row r="62" spans="1:5" x14ac:dyDescent="0.25">
      <c r="A62" s="38">
        <v>18</v>
      </c>
      <c r="B62" s="38"/>
      <c r="C62" s="38">
        <v>1</v>
      </c>
      <c r="D62" s="33">
        <v>0</v>
      </c>
      <c r="E62" s="33">
        <f t="shared" si="2"/>
        <v>0</v>
      </c>
    </row>
    <row r="63" spans="1:5" x14ac:dyDescent="0.25">
      <c r="A63" s="38">
        <v>19</v>
      </c>
      <c r="B63" s="38"/>
      <c r="C63" s="38">
        <v>1</v>
      </c>
      <c r="D63" s="33">
        <v>0</v>
      </c>
      <c r="E63" s="33">
        <f t="shared" si="2"/>
        <v>0</v>
      </c>
    </row>
    <row r="64" spans="1:5" x14ac:dyDescent="0.25">
      <c r="A64" s="38">
        <v>20</v>
      </c>
      <c r="B64" s="38"/>
      <c r="C64" s="38">
        <v>1</v>
      </c>
      <c r="D64" s="33">
        <v>0</v>
      </c>
      <c r="E64" s="33">
        <f t="shared" si="2"/>
        <v>0</v>
      </c>
    </row>
    <row r="65" spans="1:5" x14ac:dyDescent="0.25">
      <c r="E65" s="74">
        <f>SUM(E45:E64)</f>
        <v>0</v>
      </c>
    </row>
    <row r="67" spans="1:5" x14ac:dyDescent="0.25">
      <c r="A67" s="73" t="s">
        <v>4</v>
      </c>
      <c r="B67" s="73" t="s">
        <v>78</v>
      </c>
      <c r="C67" s="73" t="s">
        <v>73</v>
      </c>
      <c r="D67" s="73" t="s">
        <v>79</v>
      </c>
      <c r="E67" s="73" t="s">
        <v>75</v>
      </c>
    </row>
    <row r="68" spans="1:5" x14ac:dyDescent="0.25">
      <c r="A68" s="34">
        <v>1</v>
      </c>
      <c r="B68" s="34"/>
      <c r="C68" s="36">
        <v>1</v>
      </c>
      <c r="D68" s="35">
        <v>0</v>
      </c>
      <c r="E68" s="33">
        <f>C68*D68</f>
        <v>0</v>
      </c>
    </row>
    <row r="69" spans="1:5" x14ac:dyDescent="0.25">
      <c r="A69" s="34">
        <v>2</v>
      </c>
      <c r="B69" s="34"/>
      <c r="C69" s="36">
        <v>1</v>
      </c>
      <c r="D69" s="35">
        <v>0</v>
      </c>
      <c r="E69" s="33">
        <f t="shared" ref="E69:E96" si="4">C69*D69</f>
        <v>0</v>
      </c>
    </row>
    <row r="70" spans="1:5" x14ac:dyDescent="0.25">
      <c r="A70" s="34">
        <v>3</v>
      </c>
      <c r="B70" s="34"/>
      <c r="C70" s="36">
        <v>1</v>
      </c>
      <c r="D70" s="35">
        <v>0</v>
      </c>
      <c r="E70" s="33">
        <f t="shared" si="4"/>
        <v>0</v>
      </c>
    </row>
    <row r="71" spans="1:5" x14ac:dyDescent="0.25">
      <c r="A71" s="34">
        <v>4</v>
      </c>
      <c r="B71" s="34"/>
      <c r="C71" s="36">
        <v>1</v>
      </c>
      <c r="D71" s="35">
        <v>0</v>
      </c>
      <c r="E71" s="33">
        <f t="shared" si="4"/>
        <v>0</v>
      </c>
    </row>
    <row r="72" spans="1:5" x14ac:dyDescent="0.25">
      <c r="A72" s="34">
        <v>5</v>
      </c>
      <c r="B72" s="34"/>
      <c r="C72" s="36">
        <v>1</v>
      </c>
      <c r="D72" s="35">
        <v>0</v>
      </c>
      <c r="E72" s="33">
        <f t="shared" si="4"/>
        <v>0</v>
      </c>
    </row>
    <row r="73" spans="1:5" x14ac:dyDescent="0.25">
      <c r="A73" s="34">
        <v>6</v>
      </c>
      <c r="B73" s="34"/>
      <c r="C73" s="36">
        <v>1</v>
      </c>
      <c r="D73" s="35">
        <v>0</v>
      </c>
      <c r="E73" s="33">
        <f t="shared" si="4"/>
        <v>0</v>
      </c>
    </row>
    <row r="74" spans="1:5" x14ac:dyDescent="0.25">
      <c r="A74" s="34">
        <v>7</v>
      </c>
      <c r="B74" s="34"/>
      <c r="C74" s="36">
        <v>1</v>
      </c>
      <c r="D74" s="35">
        <v>0</v>
      </c>
      <c r="E74" s="33">
        <f t="shared" si="4"/>
        <v>0</v>
      </c>
    </row>
    <row r="75" spans="1:5" x14ac:dyDescent="0.25">
      <c r="A75" s="34">
        <v>8</v>
      </c>
      <c r="B75" s="34"/>
      <c r="C75" s="36">
        <v>1</v>
      </c>
      <c r="D75" s="35">
        <v>0</v>
      </c>
      <c r="E75" s="33">
        <f t="shared" si="4"/>
        <v>0</v>
      </c>
    </row>
    <row r="76" spans="1:5" x14ac:dyDescent="0.25">
      <c r="A76" s="34">
        <v>9</v>
      </c>
      <c r="B76" s="34"/>
      <c r="C76" s="36">
        <v>1</v>
      </c>
      <c r="D76" s="35">
        <v>0</v>
      </c>
      <c r="E76" s="33">
        <f t="shared" si="4"/>
        <v>0</v>
      </c>
    </row>
    <row r="77" spans="1:5" x14ac:dyDescent="0.25">
      <c r="A77" s="34">
        <v>10</v>
      </c>
      <c r="B77" s="34"/>
      <c r="C77" s="36">
        <v>1</v>
      </c>
      <c r="D77" s="35">
        <v>0</v>
      </c>
      <c r="E77" s="33">
        <f t="shared" si="4"/>
        <v>0</v>
      </c>
    </row>
    <row r="78" spans="1:5" x14ac:dyDescent="0.25">
      <c r="A78" s="34">
        <v>11</v>
      </c>
      <c r="B78" s="34"/>
      <c r="C78" s="36">
        <v>1</v>
      </c>
      <c r="D78" s="35">
        <v>0</v>
      </c>
      <c r="E78" s="33">
        <f t="shared" si="4"/>
        <v>0</v>
      </c>
    </row>
    <row r="79" spans="1:5" x14ac:dyDescent="0.25">
      <c r="A79" s="34">
        <v>12</v>
      </c>
      <c r="B79" s="34"/>
      <c r="C79" s="36">
        <v>1</v>
      </c>
      <c r="D79" s="35">
        <v>0</v>
      </c>
      <c r="E79" s="33">
        <f t="shared" si="4"/>
        <v>0</v>
      </c>
    </row>
    <row r="80" spans="1:5" x14ac:dyDescent="0.25">
      <c r="A80" s="34">
        <v>13</v>
      </c>
      <c r="B80" s="34"/>
      <c r="C80" s="36">
        <v>1</v>
      </c>
      <c r="D80" s="35">
        <v>0</v>
      </c>
      <c r="E80" s="33">
        <f t="shared" ref="E80:E88" si="5">C80*D80</f>
        <v>0</v>
      </c>
    </row>
    <row r="81" spans="1:5" x14ac:dyDescent="0.25">
      <c r="A81" s="34">
        <v>14</v>
      </c>
      <c r="B81" s="34"/>
      <c r="C81" s="36">
        <v>1</v>
      </c>
      <c r="D81" s="35">
        <v>0</v>
      </c>
      <c r="E81" s="33">
        <f t="shared" si="5"/>
        <v>0</v>
      </c>
    </row>
    <row r="82" spans="1:5" x14ac:dyDescent="0.25">
      <c r="A82" s="34">
        <v>15</v>
      </c>
      <c r="B82" s="34"/>
      <c r="C82" s="36">
        <v>1</v>
      </c>
      <c r="D82" s="35">
        <v>0</v>
      </c>
      <c r="E82" s="33">
        <f t="shared" si="5"/>
        <v>0</v>
      </c>
    </row>
    <row r="83" spans="1:5" x14ac:dyDescent="0.25">
      <c r="A83" s="34">
        <v>16</v>
      </c>
      <c r="B83" s="34"/>
      <c r="C83" s="36">
        <v>1</v>
      </c>
      <c r="D83" s="35">
        <v>0</v>
      </c>
      <c r="E83" s="33">
        <f t="shared" ref="E83:E85" si="6">C83*D83</f>
        <v>0</v>
      </c>
    </row>
    <row r="84" spans="1:5" x14ac:dyDescent="0.25">
      <c r="A84" s="34">
        <v>17</v>
      </c>
      <c r="B84" s="34"/>
      <c r="C84" s="36">
        <v>1</v>
      </c>
      <c r="D84" s="35">
        <v>0</v>
      </c>
      <c r="E84" s="33">
        <f t="shared" si="6"/>
        <v>0</v>
      </c>
    </row>
    <row r="85" spans="1:5" x14ac:dyDescent="0.25">
      <c r="A85" s="34">
        <v>18</v>
      </c>
      <c r="B85" s="34"/>
      <c r="C85" s="36">
        <v>1</v>
      </c>
      <c r="D85" s="35">
        <v>0</v>
      </c>
      <c r="E85" s="33">
        <f t="shared" si="6"/>
        <v>0</v>
      </c>
    </row>
    <row r="86" spans="1:5" x14ac:dyDescent="0.25">
      <c r="A86" s="34">
        <v>19</v>
      </c>
      <c r="B86" s="34"/>
      <c r="C86" s="36">
        <v>1</v>
      </c>
      <c r="D86" s="35">
        <v>0</v>
      </c>
      <c r="E86" s="33">
        <f t="shared" si="5"/>
        <v>0</v>
      </c>
    </row>
    <row r="87" spans="1:5" x14ac:dyDescent="0.25">
      <c r="A87" s="34">
        <v>20</v>
      </c>
      <c r="B87" s="34"/>
      <c r="C87" s="36">
        <v>1</v>
      </c>
      <c r="D87" s="35">
        <v>0</v>
      </c>
      <c r="E87" s="33">
        <f t="shared" si="5"/>
        <v>0</v>
      </c>
    </row>
    <row r="88" spans="1:5" x14ac:dyDescent="0.25">
      <c r="A88" s="34">
        <v>21</v>
      </c>
      <c r="B88" s="34"/>
      <c r="C88" s="36">
        <v>1</v>
      </c>
      <c r="D88" s="35">
        <v>0</v>
      </c>
      <c r="E88" s="33">
        <f t="shared" si="5"/>
        <v>0</v>
      </c>
    </row>
    <row r="89" spans="1:5" x14ac:dyDescent="0.25">
      <c r="A89" s="34">
        <v>22</v>
      </c>
      <c r="B89" s="34"/>
      <c r="C89" s="36">
        <v>1</v>
      </c>
      <c r="D89" s="35">
        <v>0</v>
      </c>
      <c r="E89" s="33">
        <f t="shared" si="4"/>
        <v>0</v>
      </c>
    </row>
    <row r="90" spans="1:5" x14ac:dyDescent="0.25">
      <c r="A90" s="34">
        <v>23</v>
      </c>
      <c r="B90" s="34"/>
      <c r="C90" s="36">
        <v>1</v>
      </c>
      <c r="D90" s="35">
        <v>0</v>
      </c>
      <c r="E90" s="33">
        <f t="shared" si="4"/>
        <v>0</v>
      </c>
    </row>
    <row r="91" spans="1:5" x14ac:dyDescent="0.25">
      <c r="A91" s="34">
        <v>24</v>
      </c>
      <c r="B91" s="34"/>
      <c r="C91" s="36">
        <v>1</v>
      </c>
      <c r="D91" s="35">
        <v>0</v>
      </c>
      <c r="E91" s="33">
        <f t="shared" si="4"/>
        <v>0</v>
      </c>
    </row>
    <row r="92" spans="1:5" x14ac:dyDescent="0.25">
      <c r="A92" s="34">
        <v>25</v>
      </c>
      <c r="B92" s="34"/>
      <c r="C92" s="36">
        <v>1</v>
      </c>
      <c r="D92" s="35">
        <v>0</v>
      </c>
      <c r="E92" s="33">
        <f t="shared" si="4"/>
        <v>0</v>
      </c>
    </row>
    <row r="93" spans="1:5" x14ac:dyDescent="0.25">
      <c r="A93" s="34">
        <v>26</v>
      </c>
      <c r="B93" s="34"/>
      <c r="C93" s="36">
        <v>1</v>
      </c>
      <c r="D93" s="35">
        <v>0</v>
      </c>
      <c r="E93" s="33">
        <f t="shared" si="4"/>
        <v>0</v>
      </c>
    </row>
    <row r="94" spans="1:5" x14ac:dyDescent="0.25">
      <c r="A94" s="34">
        <v>27</v>
      </c>
      <c r="B94" s="34"/>
      <c r="C94" s="36">
        <v>1</v>
      </c>
      <c r="D94" s="35">
        <v>0</v>
      </c>
      <c r="E94" s="33">
        <f t="shared" si="4"/>
        <v>0</v>
      </c>
    </row>
    <row r="95" spans="1:5" x14ac:dyDescent="0.25">
      <c r="A95" s="34">
        <v>28</v>
      </c>
      <c r="B95" s="34"/>
      <c r="C95" s="36">
        <v>1</v>
      </c>
      <c r="D95" s="35">
        <v>0</v>
      </c>
      <c r="E95" s="33">
        <f t="shared" si="4"/>
        <v>0</v>
      </c>
    </row>
    <row r="96" spans="1:5" x14ac:dyDescent="0.25">
      <c r="A96" s="34">
        <v>29</v>
      </c>
      <c r="B96" s="34"/>
      <c r="C96" s="36">
        <v>1</v>
      </c>
      <c r="D96" s="35">
        <v>0</v>
      </c>
      <c r="E96" s="33">
        <f t="shared" si="4"/>
        <v>0</v>
      </c>
    </row>
    <row r="97" spans="1:5" x14ac:dyDescent="0.25">
      <c r="A97" s="34">
        <v>30</v>
      </c>
      <c r="B97" s="34"/>
      <c r="C97" s="36">
        <v>1</v>
      </c>
      <c r="D97" s="35">
        <v>0</v>
      </c>
      <c r="E97" s="33">
        <f t="shared" ref="E97:E107" si="7">C97*D97</f>
        <v>0</v>
      </c>
    </row>
    <row r="98" spans="1:5" x14ac:dyDescent="0.25">
      <c r="A98" s="34">
        <v>31</v>
      </c>
      <c r="B98" s="34"/>
      <c r="C98" s="36">
        <v>1</v>
      </c>
      <c r="D98" s="35">
        <v>0</v>
      </c>
      <c r="E98" s="33">
        <f t="shared" si="7"/>
        <v>0</v>
      </c>
    </row>
    <row r="99" spans="1:5" x14ac:dyDescent="0.25">
      <c r="A99" s="34">
        <v>32</v>
      </c>
      <c r="B99" s="34"/>
      <c r="C99" s="36">
        <v>1</v>
      </c>
      <c r="D99" s="35">
        <v>0</v>
      </c>
      <c r="E99" s="33">
        <f t="shared" si="7"/>
        <v>0</v>
      </c>
    </row>
    <row r="100" spans="1:5" x14ac:dyDescent="0.25">
      <c r="A100" s="34">
        <v>33</v>
      </c>
      <c r="B100" s="34"/>
      <c r="C100" s="36">
        <v>1</v>
      </c>
      <c r="D100" s="35">
        <v>0</v>
      </c>
      <c r="E100" s="33">
        <f t="shared" si="7"/>
        <v>0</v>
      </c>
    </row>
    <row r="101" spans="1:5" x14ac:dyDescent="0.25">
      <c r="A101" s="34">
        <v>34</v>
      </c>
      <c r="B101" s="34"/>
      <c r="C101" s="36">
        <v>1</v>
      </c>
      <c r="D101" s="35">
        <v>0</v>
      </c>
      <c r="E101" s="33">
        <f t="shared" si="7"/>
        <v>0</v>
      </c>
    </row>
    <row r="102" spans="1:5" x14ac:dyDescent="0.25">
      <c r="A102" s="34">
        <v>35</v>
      </c>
      <c r="B102" s="34"/>
      <c r="C102" s="36">
        <v>1</v>
      </c>
      <c r="D102" s="35">
        <v>0</v>
      </c>
      <c r="E102" s="33">
        <f t="shared" si="7"/>
        <v>0</v>
      </c>
    </row>
    <row r="103" spans="1:5" x14ac:dyDescent="0.25">
      <c r="A103" s="34">
        <v>36</v>
      </c>
      <c r="B103" s="34"/>
      <c r="C103" s="36">
        <v>1</v>
      </c>
      <c r="D103" s="35">
        <v>0</v>
      </c>
      <c r="E103" s="33">
        <f t="shared" si="7"/>
        <v>0</v>
      </c>
    </row>
    <row r="104" spans="1:5" x14ac:dyDescent="0.25">
      <c r="A104" s="34">
        <v>37</v>
      </c>
      <c r="B104" s="34"/>
      <c r="C104" s="36">
        <v>1</v>
      </c>
      <c r="D104" s="35">
        <v>0</v>
      </c>
      <c r="E104" s="33">
        <f t="shared" si="7"/>
        <v>0</v>
      </c>
    </row>
    <row r="105" spans="1:5" x14ac:dyDescent="0.25">
      <c r="A105" s="34">
        <v>38</v>
      </c>
      <c r="B105" s="34"/>
      <c r="C105" s="36">
        <v>1</v>
      </c>
      <c r="D105" s="35">
        <v>0</v>
      </c>
      <c r="E105" s="33">
        <f t="shared" si="7"/>
        <v>0</v>
      </c>
    </row>
    <row r="106" spans="1:5" x14ac:dyDescent="0.25">
      <c r="A106" s="34">
        <v>39</v>
      </c>
      <c r="B106" s="34"/>
      <c r="C106" s="36">
        <v>1</v>
      </c>
      <c r="D106" s="35">
        <v>0</v>
      </c>
      <c r="E106" s="33">
        <f t="shared" si="7"/>
        <v>0</v>
      </c>
    </row>
    <row r="107" spans="1:5" x14ac:dyDescent="0.25">
      <c r="A107" s="34">
        <v>40</v>
      </c>
      <c r="B107" s="34"/>
      <c r="C107" s="36">
        <v>1</v>
      </c>
      <c r="D107" s="35">
        <v>0</v>
      </c>
      <c r="E107" s="33">
        <f t="shared" si="7"/>
        <v>0</v>
      </c>
    </row>
    <row r="108" spans="1:5" x14ac:dyDescent="0.25">
      <c r="A108" s="67"/>
      <c r="C108" s="68"/>
      <c r="D108" s="66"/>
      <c r="E108" s="74">
        <f>SUM(E68:E107)</f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C29" sqref="C29"/>
    </sheetView>
  </sheetViews>
  <sheetFormatPr defaultRowHeight="15" x14ac:dyDescent="0.25"/>
  <cols>
    <col min="1" max="1" width="3.28515625" bestFit="1" customWidth="1"/>
    <col min="2" max="2" width="25.28515625" customWidth="1"/>
    <col min="3" max="3" width="12.7109375" bestFit="1" customWidth="1"/>
    <col min="4" max="4" width="15.28515625" bestFit="1" customWidth="1"/>
  </cols>
  <sheetData>
    <row r="1" spans="1:4" x14ac:dyDescent="0.25">
      <c r="A1" s="73" t="s">
        <v>4</v>
      </c>
      <c r="B1" s="73" t="s">
        <v>184</v>
      </c>
      <c r="C1" s="73" t="s">
        <v>185</v>
      </c>
      <c r="D1" s="73" t="s">
        <v>104</v>
      </c>
    </row>
    <row r="2" spans="1:4" x14ac:dyDescent="0.25">
      <c r="A2" s="38">
        <v>1</v>
      </c>
      <c r="B2" s="76" t="s">
        <v>186</v>
      </c>
      <c r="C2" s="33">
        <v>0</v>
      </c>
      <c r="D2" s="33">
        <f>ROUND(C2*Ущерб!$N$2,-2)</f>
        <v>0</v>
      </c>
    </row>
    <row r="3" spans="1:4" x14ac:dyDescent="0.25">
      <c r="A3" s="38">
        <v>2</v>
      </c>
      <c r="B3" s="76" t="s">
        <v>186</v>
      </c>
      <c r="C3" s="33">
        <v>0</v>
      </c>
      <c r="D3" s="33">
        <f>ROUND(C3*Ущерб!$N$2,-2)</f>
        <v>0</v>
      </c>
    </row>
    <row r="4" spans="1:4" x14ac:dyDescent="0.25">
      <c r="A4" s="38">
        <v>3</v>
      </c>
      <c r="B4" s="76" t="s">
        <v>186</v>
      </c>
      <c r="C4" s="33">
        <v>0</v>
      </c>
      <c r="D4" s="33">
        <f>ROUND(C4*Ущерб!$N$2,-2)</f>
        <v>0</v>
      </c>
    </row>
    <row r="5" spans="1:4" x14ac:dyDescent="0.25">
      <c r="A5" s="38">
        <v>4</v>
      </c>
      <c r="B5" s="76" t="s">
        <v>186</v>
      </c>
      <c r="C5" s="33">
        <v>0</v>
      </c>
      <c r="D5" s="33">
        <f>ROUND(C5*Ущерб!$N$2,-2)</f>
        <v>0</v>
      </c>
    </row>
    <row r="6" spans="1:4" x14ac:dyDescent="0.25">
      <c r="A6" s="38">
        <v>5</v>
      </c>
      <c r="B6" s="76" t="s">
        <v>186</v>
      </c>
      <c r="C6" s="33">
        <v>0</v>
      </c>
      <c r="D6" s="33">
        <f>ROUND(C6*Ущерб!$N$2,-2)</f>
        <v>0</v>
      </c>
    </row>
    <row r="7" spans="1:4" x14ac:dyDescent="0.25">
      <c r="A7" s="38">
        <v>6</v>
      </c>
      <c r="B7" s="76" t="s">
        <v>186</v>
      </c>
      <c r="C7" s="33">
        <v>0</v>
      </c>
      <c r="D7" s="33">
        <f>ROUND(C7*Ущерб!$N$2,-2)</f>
        <v>0</v>
      </c>
    </row>
    <row r="8" spans="1:4" x14ac:dyDescent="0.25">
      <c r="A8" s="38">
        <v>7</v>
      </c>
      <c r="B8" s="76" t="s">
        <v>186</v>
      </c>
      <c r="C8" s="33">
        <v>0</v>
      </c>
      <c r="D8" s="33">
        <f>ROUND(C8*Ущерб!$N$2,-2)</f>
        <v>0</v>
      </c>
    </row>
    <row r="9" spans="1:4" x14ac:dyDescent="0.25">
      <c r="A9" s="38">
        <v>8</v>
      </c>
      <c r="B9" s="76" t="s">
        <v>186</v>
      </c>
      <c r="C9" s="33">
        <v>0</v>
      </c>
      <c r="D9" s="33">
        <f>ROUND(C9*Ущерб!$N$2,-2)</f>
        <v>0</v>
      </c>
    </row>
    <row r="10" spans="1:4" s="37" customFormat="1" x14ac:dyDescent="0.25">
      <c r="A10" s="38">
        <v>9</v>
      </c>
      <c r="B10" s="76" t="s">
        <v>186</v>
      </c>
      <c r="C10" s="33">
        <v>0</v>
      </c>
      <c r="D10" s="33">
        <f>ROUND(C10*Ущерб!$N$2,-2)</f>
        <v>0</v>
      </c>
    </row>
    <row r="11" spans="1:4" s="37" customFormat="1" x14ac:dyDescent="0.25">
      <c r="A11" s="38">
        <v>10</v>
      </c>
      <c r="B11" s="76" t="s">
        <v>186</v>
      </c>
      <c r="C11" s="33">
        <v>0</v>
      </c>
      <c r="D11" s="33">
        <f>ROUND(C11*Ущерб!$N$2,-2)</f>
        <v>0</v>
      </c>
    </row>
    <row r="12" spans="1:4" s="37" customFormat="1" x14ac:dyDescent="0.25">
      <c r="A12" s="38">
        <v>11</v>
      </c>
      <c r="B12" s="76" t="s">
        <v>186</v>
      </c>
      <c r="C12" s="33">
        <v>0</v>
      </c>
      <c r="D12" s="33">
        <f>ROUND(C12*Ущерб!$N$2,-2)</f>
        <v>0</v>
      </c>
    </row>
    <row r="13" spans="1:4" s="37" customFormat="1" x14ac:dyDescent="0.25">
      <c r="A13" s="38">
        <v>12</v>
      </c>
      <c r="B13" s="76" t="s">
        <v>186</v>
      </c>
      <c r="C13" s="33">
        <v>0</v>
      </c>
      <c r="D13" s="33">
        <f>ROUND(C13*Ущерб!$N$2,-2)</f>
        <v>0</v>
      </c>
    </row>
    <row r="14" spans="1:4" s="37" customFormat="1" x14ac:dyDescent="0.25">
      <c r="A14" s="38">
        <v>13</v>
      </c>
      <c r="B14" s="76" t="s">
        <v>186</v>
      </c>
      <c r="C14" s="33">
        <v>0</v>
      </c>
      <c r="D14" s="33">
        <f>ROUND(C14*Ущерб!$N$2,-2)</f>
        <v>0</v>
      </c>
    </row>
    <row r="15" spans="1:4" s="37" customFormat="1" x14ac:dyDescent="0.25">
      <c r="A15" s="38">
        <v>14</v>
      </c>
      <c r="B15" s="76" t="s">
        <v>186</v>
      </c>
      <c r="C15" s="33">
        <v>0</v>
      </c>
      <c r="D15" s="33">
        <f>ROUND(C15*Ущерб!$N$2,-2)</f>
        <v>0</v>
      </c>
    </row>
    <row r="16" spans="1:4" s="37" customFormat="1" x14ac:dyDescent="0.25">
      <c r="A16" s="38">
        <v>15</v>
      </c>
      <c r="B16" s="76" t="s">
        <v>186</v>
      </c>
      <c r="C16" s="33">
        <v>0</v>
      </c>
      <c r="D16" s="33">
        <f>ROUND(C16*Ущерб!$N$2,-2)</f>
        <v>0</v>
      </c>
    </row>
    <row r="17" spans="1:4" s="37" customFormat="1" x14ac:dyDescent="0.25">
      <c r="A17" s="38">
        <v>16</v>
      </c>
      <c r="B17" s="76" t="s">
        <v>186</v>
      </c>
      <c r="C17" s="33">
        <v>0</v>
      </c>
      <c r="D17" s="33">
        <f>ROUND(C17*Ущерб!$N$2,-2)</f>
        <v>0</v>
      </c>
    </row>
    <row r="18" spans="1:4" s="37" customFormat="1" x14ac:dyDescent="0.25">
      <c r="A18" s="38">
        <v>17</v>
      </c>
      <c r="B18" s="76" t="s">
        <v>186</v>
      </c>
      <c r="C18" s="33">
        <v>0</v>
      </c>
      <c r="D18" s="33">
        <f>ROUND(C18*Ущерб!$N$2,-2)</f>
        <v>0</v>
      </c>
    </row>
    <row r="19" spans="1:4" s="37" customFormat="1" x14ac:dyDescent="0.25">
      <c r="A19" s="38">
        <v>18</v>
      </c>
      <c r="B19" s="76" t="s">
        <v>186</v>
      </c>
      <c r="C19" s="33">
        <v>0</v>
      </c>
      <c r="D19" s="33">
        <f>ROUND(C19*Ущерб!$N$2,-2)</f>
        <v>0</v>
      </c>
    </row>
    <row r="20" spans="1:4" s="37" customFormat="1" x14ac:dyDescent="0.25">
      <c r="A20" s="38">
        <v>19</v>
      </c>
      <c r="B20" s="76" t="s">
        <v>186</v>
      </c>
      <c r="C20" s="33">
        <v>0</v>
      </c>
      <c r="D20" s="33">
        <f>ROUND(C20*Ущерб!$N$2,-2)</f>
        <v>0</v>
      </c>
    </row>
    <row r="21" spans="1:4" s="37" customFormat="1" x14ac:dyDescent="0.25">
      <c r="A21" s="38">
        <v>20</v>
      </c>
      <c r="B21" s="76" t="s">
        <v>186</v>
      </c>
      <c r="C21" s="33">
        <v>0</v>
      </c>
      <c r="D21" s="33">
        <f>ROUND(C21*Ущерб!$N$2,-2)</f>
        <v>0</v>
      </c>
    </row>
    <row r="22" spans="1:4" x14ac:dyDescent="0.25">
      <c r="C22" s="50">
        <f>AVERAGE(C2:C21)</f>
        <v>0</v>
      </c>
      <c r="D22" s="50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8" sqref="E28"/>
    </sheetView>
  </sheetViews>
  <sheetFormatPr defaultRowHeight="15" x14ac:dyDescent="0.25"/>
  <cols>
    <col min="1" max="1" width="3" bestFit="1" customWidth="1"/>
    <col min="2" max="2" width="45.28515625" bestFit="1" customWidth="1"/>
    <col min="3" max="3" width="7" bestFit="1" customWidth="1"/>
    <col min="4" max="4" width="7.7109375" customWidth="1"/>
    <col min="5" max="5" width="10.28515625" bestFit="1" customWidth="1"/>
    <col min="8" max="8" width="10.28515625" bestFit="1" customWidth="1"/>
    <col min="9" max="9" width="12.7109375" bestFit="1" customWidth="1"/>
    <col min="10" max="10" width="14.28515625" bestFit="1" customWidth="1"/>
  </cols>
  <sheetData>
    <row r="1" spans="1:12" x14ac:dyDescent="0.25">
      <c r="A1" s="73" t="s">
        <v>4</v>
      </c>
      <c r="B1" s="73" t="s">
        <v>183</v>
      </c>
      <c r="C1" s="73" t="s">
        <v>73</v>
      </c>
      <c r="D1" s="73" t="s">
        <v>182</v>
      </c>
      <c r="E1" s="73" t="s">
        <v>75</v>
      </c>
      <c r="F1" s="32"/>
      <c r="G1" s="32"/>
      <c r="H1" s="32"/>
      <c r="I1" s="32"/>
      <c r="J1" s="32"/>
    </row>
    <row r="2" spans="1:12" x14ac:dyDescent="0.25">
      <c r="A2" s="38">
        <v>1</v>
      </c>
      <c r="B2" s="38"/>
      <c r="C2" s="38">
        <v>1</v>
      </c>
      <c r="D2" s="80">
        <v>0</v>
      </c>
      <c r="E2" s="79">
        <f>C2*D2*Средн!$D$22/100</f>
        <v>0</v>
      </c>
      <c r="F2" s="32"/>
      <c r="G2" s="32"/>
      <c r="H2" s="77"/>
      <c r="I2" s="77"/>
      <c r="J2" s="78"/>
      <c r="K2" s="37"/>
      <c r="L2" s="37"/>
    </row>
    <row r="3" spans="1:12" x14ac:dyDescent="0.25">
      <c r="A3" s="38">
        <v>2</v>
      </c>
      <c r="B3" s="38"/>
      <c r="C3" s="38">
        <v>1</v>
      </c>
      <c r="D3" s="80">
        <v>0</v>
      </c>
      <c r="E3" s="79">
        <f>C3*D3*Средн!$D$22/100</f>
        <v>0</v>
      </c>
      <c r="F3" s="32"/>
      <c r="G3" s="32"/>
      <c r="H3" s="77"/>
      <c r="I3" s="77"/>
      <c r="J3" s="78"/>
      <c r="K3" s="37"/>
      <c r="L3" s="37"/>
    </row>
    <row r="4" spans="1:12" x14ac:dyDescent="0.25">
      <c r="A4" s="38">
        <v>3</v>
      </c>
      <c r="B4" s="38"/>
      <c r="C4" s="38">
        <v>1</v>
      </c>
      <c r="D4" s="80">
        <v>0</v>
      </c>
      <c r="E4" s="79">
        <f>C4*D4*Средн!$D$22/100</f>
        <v>0</v>
      </c>
      <c r="F4" s="32"/>
      <c r="G4" s="32"/>
      <c r="H4" s="77"/>
      <c r="I4" s="77"/>
      <c r="J4" s="78"/>
      <c r="K4" s="37"/>
      <c r="L4" s="37"/>
    </row>
    <row r="5" spans="1:12" x14ac:dyDescent="0.25">
      <c r="A5" s="38">
        <v>4</v>
      </c>
      <c r="B5" s="38"/>
      <c r="C5" s="38">
        <v>1</v>
      </c>
      <c r="D5" s="80">
        <v>0</v>
      </c>
      <c r="E5" s="79">
        <f>C5*D5*Средн!$D$22/100</f>
        <v>0</v>
      </c>
      <c r="F5" s="32"/>
      <c r="G5" s="32"/>
      <c r="H5" s="77"/>
      <c r="I5" s="77"/>
      <c r="J5" s="78"/>
      <c r="K5" s="37"/>
      <c r="L5" s="37"/>
    </row>
    <row r="6" spans="1:12" x14ac:dyDescent="0.25">
      <c r="A6" s="38">
        <v>5</v>
      </c>
      <c r="B6" s="38"/>
      <c r="C6" s="38">
        <v>1</v>
      </c>
      <c r="D6" s="80">
        <v>0</v>
      </c>
      <c r="E6" s="79">
        <f>C6*D6*Средн!$D$22/100</f>
        <v>0</v>
      </c>
      <c r="F6" s="32"/>
      <c r="G6" s="32"/>
      <c r="H6" s="77"/>
      <c r="I6" s="77"/>
      <c r="J6" s="78"/>
      <c r="K6" s="37"/>
      <c r="L6" s="37"/>
    </row>
    <row r="7" spans="1:12" x14ac:dyDescent="0.25">
      <c r="A7" s="38">
        <v>6</v>
      </c>
      <c r="B7" s="38"/>
      <c r="C7" s="38">
        <v>1</v>
      </c>
      <c r="D7" s="80">
        <v>0</v>
      </c>
      <c r="E7" s="79">
        <f>C7*D7*Средн!$D$22/100</f>
        <v>0</v>
      </c>
      <c r="F7" s="32"/>
      <c r="G7" s="32"/>
      <c r="H7" s="77"/>
      <c r="I7" s="77"/>
      <c r="J7" s="78"/>
      <c r="K7" s="37"/>
      <c r="L7" s="37"/>
    </row>
    <row r="8" spans="1:12" x14ac:dyDescent="0.25">
      <c r="A8" s="38">
        <v>7</v>
      </c>
      <c r="B8" s="38"/>
      <c r="C8" s="38">
        <v>1</v>
      </c>
      <c r="D8" s="80">
        <v>0</v>
      </c>
      <c r="E8" s="79">
        <f>C8*D8*Средн!$D$22/100</f>
        <v>0</v>
      </c>
      <c r="F8" s="32"/>
      <c r="G8" s="32"/>
      <c r="H8" s="66"/>
      <c r="I8" s="66"/>
      <c r="J8" s="32"/>
      <c r="K8" s="37"/>
      <c r="L8" s="37"/>
    </row>
    <row r="9" spans="1:12" x14ac:dyDescent="0.25">
      <c r="A9" s="38">
        <v>8</v>
      </c>
      <c r="B9" s="38"/>
      <c r="C9" s="38">
        <v>1</v>
      </c>
      <c r="D9" s="80">
        <v>0</v>
      </c>
      <c r="E9" s="79">
        <f>C9*D9*Средн!$D$22/100</f>
        <v>0</v>
      </c>
      <c r="F9" s="32"/>
      <c r="G9" s="32"/>
      <c r="H9" s="32"/>
      <c r="I9" s="32"/>
      <c r="J9" s="32"/>
    </row>
    <row r="10" spans="1:12" s="37" customFormat="1" x14ac:dyDescent="0.25">
      <c r="A10" s="38">
        <v>9</v>
      </c>
      <c r="B10" s="38"/>
      <c r="C10" s="38">
        <v>1</v>
      </c>
      <c r="D10" s="80">
        <v>0</v>
      </c>
      <c r="E10" s="79">
        <f>C10*D10*Средн!$D$22/100</f>
        <v>0</v>
      </c>
      <c r="F10" s="32"/>
      <c r="G10" s="32"/>
      <c r="H10" s="77"/>
      <c r="I10" s="77"/>
      <c r="J10" s="78"/>
    </row>
    <row r="11" spans="1:12" s="37" customFormat="1" x14ac:dyDescent="0.25">
      <c r="A11" s="38">
        <v>10</v>
      </c>
      <c r="B11" s="38"/>
      <c r="C11" s="38">
        <v>1</v>
      </c>
      <c r="D11" s="80">
        <v>0</v>
      </c>
      <c r="E11" s="79">
        <f>C11*D11*Средн!$D$22/100</f>
        <v>0</v>
      </c>
      <c r="F11" s="32"/>
      <c r="G11" s="32"/>
      <c r="H11" s="77"/>
      <c r="I11" s="77"/>
      <c r="J11" s="78"/>
    </row>
    <row r="12" spans="1:12" s="37" customFormat="1" x14ac:dyDescent="0.25">
      <c r="A12" s="38">
        <v>11</v>
      </c>
      <c r="B12" s="38"/>
      <c r="C12" s="38">
        <v>1</v>
      </c>
      <c r="D12" s="80">
        <v>0</v>
      </c>
      <c r="E12" s="79">
        <f>C12*D12*Средн!$D$22/100</f>
        <v>0</v>
      </c>
      <c r="F12" s="32"/>
      <c r="G12" s="32"/>
      <c r="H12" s="66"/>
      <c r="I12" s="66"/>
      <c r="J12" s="32"/>
    </row>
    <row r="13" spans="1:12" s="37" customFormat="1" x14ac:dyDescent="0.25">
      <c r="A13" s="38">
        <v>12</v>
      </c>
      <c r="B13" s="38"/>
      <c r="C13" s="38">
        <v>1</v>
      </c>
      <c r="D13" s="80">
        <v>0</v>
      </c>
      <c r="E13" s="79">
        <f>C13*D13*Средн!$D$22/100</f>
        <v>0</v>
      </c>
      <c r="F13" s="32"/>
      <c r="G13" s="32"/>
      <c r="H13" s="32"/>
      <c r="I13" s="32"/>
      <c r="J13" s="32"/>
    </row>
    <row r="14" spans="1:12" x14ac:dyDescent="0.25">
      <c r="A14" s="38">
        <v>13</v>
      </c>
      <c r="B14" s="38"/>
      <c r="C14" s="38">
        <v>1</v>
      </c>
      <c r="D14" s="80">
        <v>0</v>
      </c>
      <c r="E14" s="79">
        <f>C14*D14*Средн!$D$22/100</f>
        <v>0</v>
      </c>
      <c r="F14" s="32"/>
      <c r="G14" s="32"/>
      <c r="H14" s="32"/>
      <c r="I14" s="32"/>
      <c r="J14" s="32"/>
    </row>
    <row r="15" spans="1:12" s="37" customFormat="1" x14ac:dyDescent="0.25">
      <c r="A15" s="38">
        <v>14</v>
      </c>
      <c r="B15" s="38"/>
      <c r="C15" s="38">
        <v>1</v>
      </c>
      <c r="D15" s="80">
        <v>0</v>
      </c>
      <c r="E15" s="79">
        <f>C15*D15*Средн!$D$22/100</f>
        <v>0</v>
      </c>
      <c r="F15" s="32"/>
      <c r="G15" s="32"/>
      <c r="H15" s="77"/>
      <c r="I15" s="77"/>
      <c r="J15" s="78"/>
    </row>
    <row r="16" spans="1:12" s="37" customFormat="1" x14ac:dyDescent="0.25">
      <c r="A16" s="38">
        <v>15</v>
      </c>
      <c r="B16" s="38"/>
      <c r="C16" s="38">
        <v>1</v>
      </c>
      <c r="D16" s="80">
        <v>0</v>
      </c>
      <c r="E16" s="79">
        <f>C16*D16*Средн!$D$22/100</f>
        <v>0</v>
      </c>
      <c r="F16" s="32"/>
      <c r="G16" s="32"/>
      <c r="H16" s="77"/>
      <c r="I16" s="77"/>
      <c r="J16" s="78"/>
    </row>
    <row r="17" spans="1:10" s="37" customFormat="1" x14ac:dyDescent="0.25">
      <c r="A17" s="38">
        <v>16</v>
      </c>
      <c r="B17" s="38"/>
      <c r="C17" s="38">
        <v>1</v>
      </c>
      <c r="D17" s="80">
        <v>0</v>
      </c>
      <c r="E17" s="79">
        <f>C17*D17*Средн!$D$22/100</f>
        <v>0</v>
      </c>
      <c r="F17" s="32"/>
      <c r="G17" s="32"/>
      <c r="H17" s="66"/>
      <c r="I17" s="66"/>
      <c r="J17" s="32"/>
    </row>
    <row r="18" spans="1:10" s="37" customFormat="1" x14ac:dyDescent="0.25">
      <c r="A18" s="38">
        <v>17</v>
      </c>
      <c r="B18" s="38"/>
      <c r="C18" s="38">
        <v>1</v>
      </c>
      <c r="D18" s="80">
        <v>0</v>
      </c>
      <c r="E18" s="79">
        <f>C18*D18*Средн!$D$22/100</f>
        <v>0</v>
      </c>
      <c r="F18" s="32"/>
      <c r="G18" s="32"/>
      <c r="H18" s="32"/>
      <c r="I18" s="32"/>
      <c r="J18" s="32"/>
    </row>
    <row r="19" spans="1:10" s="37" customFormat="1" x14ac:dyDescent="0.25">
      <c r="A19" s="38">
        <v>18</v>
      </c>
      <c r="B19" s="38"/>
      <c r="C19" s="38">
        <v>1</v>
      </c>
      <c r="D19" s="80">
        <v>0</v>
      </c>
      <c r="E19" s="79">
        <f>C19*D19*Средн!$D$22/100</f>
        <v>0</v>
      </c>
      <c r="F19" s="32"/>
      <c r="G19" s="32"/>
      <c r="H19" s="32"/>
      <c r="I19" s="32"/>
      <c r="J19" s="32"/>
    </row>
    <row r="20" spans="1:10" s="37" customFormat="1" x14ac:dyDescent="0.25">
      <c r="A20" s="38">
        <v>19</v>
      </c>
      <c r="B20" s="38"/>
      <c r="C20" s="38">
        <v>1</v>
      </c>
      <c r="D20" s="80">
        <v>0</v>
      </c>
      <c r="E20" s="79">
        <f>C20*D20*Средн!$D$22/100</f>
        <v>0</v>
      </c>
      <c r="F20" s="32"/>
      <c r="G20" s="32"/>
      <c r="H20" s="77"/>
      <c r="I20" s="77"/>
      <c r="J20" s="78"/>
    </row>
    <row r="21" spans="1:10" s="37" customFormat="1" x14ac:dyDescent="0.25">
      <c r="A21" s="38">
        <v>20</v>
      </c>
      <c r="B21" s="38"/>
      <c r="C21" s="38">
        <v>1</v>
      </c>
      <c r="D21" s="80">
        <v>0</v>
      </c>
      <c r="E21" s="79">
        <f>C21*D21*Средн!$D$22/100</f>
        <v>0</v>
      </c>
      <c r="F21" s="32"/>
      <c r="G21" s="32"/>
      <c r="H21" s="77"/>
      <c r="I21" s="77"/>
      <c r="J21" s="78"/>
    </row>
    <row r="22" spans="1:10" s="37" customFormat="1" x14ac:dyDescent="0.25">
      <c r="A22" s="38">
        <v>21</v>
      </c>
      <c r="B22" s="38"/>
      <c r="C22" s="38">
        <v>1</v>
      </c>
      <c r="D22" s="80">
        <v>0</v>
      </c>
      <c r="E22" s="79">
        <f>C22*D22*Средн!$D$22/100</f>
        <v>0</v>
      </c>
      <c r="F22" s="32"/>
      <c r="G22" s="32"/>
      <c r="H22" s="77"/>
      <c r="I22" s="77"/>
      <c r="J22" s="78"/>
    </row>
    <row r="23" spans="1:10" s="37" customFormat="1" x14ac:dyDescent="0.25">
      <c r="A23" s="38">
        <v>22</v>
      </c>
      <c r="B23" s="38"/>
      <c r="C23" s="38">
        <v>1</v>
      </c>
      <c r="D23" s="80">
        <v>0</v>
      </c>
      <c r="E23" s="79">
        <f>C23*D23*Средн!$D$22/100</f>
        <v>0</v>
      </c>
      <c r="F23" s="32"/>
      <c r="G23" s="32"/>
      <c r="H23" s="66"/>
      <c r="I23" s="66"/>
      <c r="J23" s="32"/>
    </row>
    <row r="24" spans="1:10" s="37" customFormat="1" x14ac:dyDescent="0.25">
      <c r="A24" s="38">
        <v>23</v>
      </c>
      <c r="B24" s="38"/>
      <c r="C24" s="38">
        <v>1</v>
      </c>
      <c r="D24" s="80">
        <v>0</v>
      </c>
      <c r="E24" s="79">
        <f>C24*D24*Средн!$D$22/100</f>
        <v>0</v>
      </c>
      <c r="F24" s="32"/>
      <c r="G24" s="32"/>
      <c r="H24" s="32"/>
      <c r="I24" s="32"/>
      <c r="J24" s="32"/>
    </row>
    <row r="25" spans="1:10" s="37" customFormat="1" x14ac:dyDescent="0.25">
      <c r="A25" s="38">
        <v>24</v>
      </c>
      <c r="B25" s="38"/>
      <c r="C25" s="38">
        <v>1</v>
      </c>
      <c r="D25" s="80">
        <v>0</v>
      </c>
      <c r="E25" s="79">
        <f>C25*D25*Средн!$D$22/100</f>
        <v>0</v>
      </c>
      <c r="F25" s="32"/>
      <c r="G25" s="32"/>
      <c r="H25" s="32"/>
      <c r="I25" s="32"/>
      <c r="J25" s="32"/>
    </row>
    <row r="26" spans="1:10" x14ac:dyDescent="0.25">
      <c r="A26" s="38">
        <v>25</v>
      </c>
      <c r="B26" s="38"/>
      <c r="C26" s="38">
        <v>1</v>
      </c>
      <c r="D26" s="80">
        <v>0</v>
      </c>
      <c r="E26" s="79">
        <f>C26*D26*Средн!$D$22/100</f>
        <v>0</v>
      </c>
      <c r="F26" s="32"/>
      <c r="G26" s="32"/>
      <c r="H26" s="32"/>
      <c r="I26" s="32"/>
      <c r="J26" s="32"/>
    </row>
    <row r="27" spans="1:10" x14ac:dyDescent="0.25">
      <c r="A27" s="32"/>
      <c r="B27" s="32"/>
      <c r="C27" s="32"/>
      <c r="D27" s="81">
        <f t="shared" ref="D27" si="0">SUM(D2:D26)</f>
        <v>0</v>
      </c>
      <c r="E27" s="82">
        <f>ROUND(SUM(E2:E26),0)</f>
        <v>0</v>
      </c>
      <c r="F27" s="32"/>
      <c r="G27" s="32"/>
      <c r="H27" s="32"/>
      <c r="I27" s="32"/>
      <c r="J27" s="32"/>
    </row>
    <row r="28" spans="1:10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B3" sqref="B3"/>
    </sheetView>
  </sheetViews>
  <sheetFormatPr defaultColWidth="8.7109375" defaultRowHeight="15" x14ac:dyDescent="0.25"/>
  <cols>
    <col min="1" max="1" width="70.28515625" style="37" customWidth="1"/>
    <col min="2" max="2" width="15.42578125" style="89" customWidth="1"/>
    <col min="3" max="3" width="12.7109375" style="37" bestFit="1" customWidth="1"/>
    <col min="4" max="4" width="13.42578125" style="37" bestFit="1" customWidth="1"/>
    <col min="5" max="6" width="11.28515625" style="37" bestFit="1" customWidth="1"/>
    <col min="7" max="7" width="14.28515625" style="37" bestFit="1" customWidth="1"/>
    <col min="8" max="8" width="17.5703125" style="37" bestFit="1" customWidth="1"/>
    <col min="9" max="9" width="15.7109375" style="37" bestFit="1" customWidth="1"/>
    <col min="10" max="16384" width="8.7109375" style="37"/>
  </cols>
  <sheetData>
    <row r="1" spans="1:7" x14ac:dyDescent="0.25">
      <c r="A1" s="84" t="s">
        <v>187</v>
      </c>
      <c r="B1" s="86"/>
      <c r="C1" s="84"/>
      <c r="E1" s="73" t="s">
        <v>121</v>
      </c>
      <c r="F1" s="73" t="s">
        <v>122</v>
      </c>
      <c r="G1" s="73" t="s">
        <v>123</v>
      </c>
    </row>
    <row r="2" spans="1:7" x14ac:dyDescent="0.25">
      <c r="A2" s="73" t="s">
        <v>191</v>
      </c>
      <c r="B2" s="85" t="s">
        <v>207</v>
      </c>
      <c r="C2" s="73" t="s">
        <v>208</v>
      </c>
      <c r="E2" s="73">
        <v>0.7</v>
      </c>
      <c r="F2" s="73">
        <v>0.5</v>
      </c>
      <c r="G2" s="73">
        <v>0.75</v>
      </c>
    </row>
    <row r="3" spans="1:7" x14ac:dyDescent="0.25">
      <c r="A3" s="38" t="s">
        <v>192</v>
      </c>
      <c r="B3" s="87">
        <v>20</v>
      </c>
      <c r="C3" s="33">
        <f>ROUND(($E$2*$F$2*$G$2*Средн!$D$22*B3)/100,2)</f>
        <v>0</v>
      </c>
    </row>
    <row r="4" spans="1:7" x14ac:dyDescent="0.25">
      <c r="A4" s="38" t="s">
        <v>193</v>
      </c>
      <c r="B4" s="87">
        <v>30</v>
      </c>
      <c r="C4" s="33">
        <f>ROUND(($E$2*$F$2*$G$2*Средн!$D$22*B4)/100,2)</f>
        <v>0</v>
      </c>
    </row>
    <row r="5" spans="1:7" x14ac:dyDescent="0.25">
      <c r="A5" s="38" t="s">
        <v>194</v>
      </c>
      <c r="B5" s="87">
        <v>13</v>
      </c>
      <c r="C5" s="33">
        <f>ROUND(($E$2*$F$2*$G$2*Средн!$D$22*B5)/100,2)</f>
        <v>0</v>
      </c>
    </row>
    <row r="6" spans="1:7" x14ac:dyDescent="0.25">
      <c r="A6" s="38" t="s">
        <v>195</v>
      </c>
      <c r="B6" s="87">
        <v>3</v>
      </c>
      <c r="C6" s="33">
        <f>ROUND(($E$2*$F$2*$G$2*Средн!$D$22*B6)/100,2)</f>
        <v>0</v>
      </c>
    </row>
    <row r="7" spans="1:7" x14ac:dyDescent="0.25">
      <c r="A7" s="38" t="s">
        <v>196</v>
      </c>
      <c r="B7" s="87">
        <v>3</v>
      </c>
      <c r="C7" s="33">
        <f>ROUND(($E$2*$F$2*$G$2*Средн!$D$22*B7)/100,2)</f>
        <v>0</v>
      </c>
    </row>
    <row r="8" spans="1:7" x14ac:dyDescent="0.25">
      <c r="A8" s="38" t="s">
        <v>197</v>
      </c>
      <c r="B8" s="87">
        <v>2.5</v>
      </c>
      <c r="C8" s="33">
        <f>ROUND(($E$2*$F$2*$G$2*Средн!$D$22*B8)/100,2)</f>
        <v>0</v>
      </c>
    </row>
    <row r="9" spans="1:7" x14ac:dyDescent="0.25">
      <c r="A9" s="38" t="s">
        <v>198</v>
      </c>
      <c r="B9" s="87">
        <v>2</v>
      </c>
      <c r="C9" s="33">
        <f>ROUND(($E$2*$F$2*$G$2*Средн!$D$22*B9)/100,2)</f>
        <v>0</v>
      </c>
    </row>
    <row r="10" spans="1:7" x14ac:dyDescent="0.25">
      <c r="A10" s="38" t="s">
        <v>116</v>
      </c>
      <c r="B10" s="87">
        <v>2</v>
      </c>
      <c r="C10" s="33">
        <f>ROUND(($E$2*$F$2*$G$2*Средн!$D$22*B10)/100,2)</f>
        <v>0</v>
      </c>
    </row>
    <row r="11" spans="1:7" x14ac:dyDescent="0.25">
      <c r="A11" s="38" t="s">
        <v>117</v>
      </c>
      <c r="B11" s="87">
        <v>2.5</v>
      </c>
      <c r="C11" s="33">
        <f>ROUND(($E$2*$F$2*$G$2*Средн!$D$22*B11)/100,2)</f>
        <v>0</v>
      </c>
    </row>
    <row r="12" spans="1:7" x14ac:dyDescent="0.25">
      <c r="A12" s="38" t="s">
        <v>199</v>
      </c>
      <c r="B12" s="87">
        <v>2</v>
      </c>
      <c r="C12" s="33">
        <f>ROUND(($E$2*$F$2*$G$2*Средн!$D$22*B12)/100,2)</f>
        <v>0</v>
      </c>
    </row>
    <row r="13" spans="1:7" x14ac:dyDescent="0.25">
      <c r="A13" s="38" t="s">
        <v>118</v>
      </c>
      <c r="B13" s="87">
        <v>16</v>
      </c>
      <c r="C13" s="33">
        <f>ROUND(($E$2*$F$2*$G$2*Средн!$D$22*B13)/100,2)</f>
        <v>0</v>
      </c>
    </row>
    <row r="14" spans="1:7" x14ac:dyDescent="0.25">
      <c r="A14" s="38" t="s">
        <v>200</v>
      </c>
      <c r="B14" s="87">
        <v>10</v>
      </c>
      <c r="C14" s="33">
        <f>ROUND(($E$2*$F$2*$G$2*Средн!$D$22*B14)/100,2)</f>
        <v>0</v>
      </c>
    </row>
    <row r="15" spans="1:7" x14ac:dyDescent="0.25">
      <c r="A15" s="38" t="s">
        <v>201</v>
      </c>
      <c r="B15" s="87">
        <v>7</v>
      </c>
      <c r="C15" s="33">
        <f>ROUND(($E$2*$F$2*$G$2*Средн!$D$22*B15)/100,2)</f>
        <v>0</v>
      </c>
    </row>
    <row r="16" spans="1:7" x14ac:dyDescent="0.25">
      <c r="A16" s="38" t="s">
        <v>202</v>
      </c>
      <c r="B16" s="87">
        <v>10</v>
      </c>
      <c r="C16" s="33">
        <f>ROUND(($E$2*$F$2*$G$2*Средн!$D$22*B16)/100,2)</f>
        <v>0</v>
      </c>
    </row>
    <row r="17" spans="1:8" x14ac:dyDescent="0.25">
      <c r="A17" s="38" t="s">
        <v>119</v>
      </c>
      <c r="B17" s="87">
        <v>2</v>
      </c>
      <c r="C17" s="33">
        <f>ROUND(($E$2*$F$2*$G$2*Средн!$D$22*B17)/100,2)</f>
        <v>0</v>
      </c>
    </row>
    <row r="18" spans="1:8" x14ac:dyDescent="0.25">
      <c r="A18" s="38" t="s">
        <v>203</v>
      </c>
      <c r="B18" s="87">
        <v>8</v>
      </c>
      <c r="C18" s="33">
        <f>ROUND(($E$2*$F$2*$G$2*Средн!$D$22*B18)/100,2)</f>
        <v>0</v>
      </c>
    </row>
    <row r="19" spans="1:8" x14ac:dyDescent="0.25">
      <c r="A19" s="38" t="s">
        <v>204</v>
      </c>
      <c r="B19" s="87">
        <v>18</v>
      </c>
      <c r="C19" s="33">
        <f>ROUND(($E$2*$F$2*$G$2*Средн!$D$22*B19)/100,2)</f>
        <v>0</v>
      </c>
    </row>
    <row r="20" spans="1:8" x14ac:dyDescent="0.25">
      <c r="A20" s="38" t="s">
        <v>205</v>
      </c>
      <c r="B20" s="87">
        <v>2</v>
      </c>
      <c r="C20" s="33">
        <f>ROUND(($E$2*$F$2*$G$2*Средн!$D$22*B20)/100,2)</f>
        <v>0</v>
      </c>
    </row>
    <row r="21" spans="1:8" x14ac:dyDescent="0.25">
      <c r="A21" s="38" t="s">
        <v>206</v>
      </c>
      <c r="B21" s="87">
        <v>2</v>
      </c>
      <c r="C21" s="33">
        <f>ROUND(($E$2*$F$2*$G$2*Средн!$D$22*B21)/100,2)</f>
        <v>0</v>
      </c>
    </row>
    <row r="22" spans="1:8" x14ac:dyDescent="0.25">
      <c r="A22" s="38" t="s">
        <v>120</v>
      </c>
      <c r="B22" s="87">
        <v>3</v>
      </c>
      <c r="C22" s="33">
        <f>ROUND(($E$2*$F$2*$G$2*Средн!$D$22*B22)/100,2)</f>
        <v>0</v>
      </c>
    </row>
    <row r="23" spans="1:8" x14ac:dyDescent="0.25">
      <c r="B23" s="50">
        <f>SUM(B3:B22)</f>
        <v>158</v>
      </c>
      <c r="C23" s="50">
        <f>SUM(C3:C22)</f>
        <v>0</v>
      </c>
      <c r="F23" s="53"/>
      <c r="G23" s="54"/>
      <c r="H23" s="54"/>
    </row>
    <row r="24" spans="1:8" x14ac:dyDescent="0.25">
      <c r="A24" s="51"/>
      <c r="B24" s="88"/>
      <c r="C24" s="52"/>
      <c r="F24" s="53"/>
      <c r="G24" s="54"/>
      <c r="H24" s="54"/>
    </row>
    <row r="25" spans="1:8" x14ac:dyDescent="0.25">
      <c r="A25" s="84" t="s">
        <v>288</v>
      </c>
      <c r="B25" s="88"/>
      <c r="F25" s="53"/>
      <c r="G25" s="54"/>
      <c r="H25" s="54"/>
    </row>
    <row r="26" spans="1:8" x14ac:dyDescent="0.25">
      <c r="A26" s="73" t="s">
        <v>191</v>
      </c>
      <c r="B26" s="85" t="s">
        <v>207</v>
      </c>
      <c r="C26" s="73" t="s">
        <v>208</v>
      </c>
      <c r="F26" s="53"/>
      <c r="G26" s="54"/>
      <c r="H26" s="54"/>
    </row>
    <row r="27" spans="1:8" x14ac:dyDescent="0.25">
      <c r="A27" s="38" t="s">
        <v>209</v>
      </c>
      <c r="B27" s="90">
        <v>50</v>
      </c>
      <c r="C27" s="33">
        <f>ROUND(($E$2*$F$2*$G$2*Средн!$D$22*B27)/100,2)</f>
        <v>0</v>
      </c>
      <c r="D27" s="37" t="s">
        <v>299</v>
      </c>
      <c r="F27" s="53"/>
      <c r="G27" s="55"/>
      <c r="H27" s="55"/>
    </row>
    <row r="28" spans="1:8" x14ac:dyDescent="0.25">
      <c r="A28" s="38" t="s">
        <v>210</v>
      </c>
      <c r="B28" s="90">
        <v>14</v>
      </c>
      <c r="C28" s="33">
        <f>ROUND(($E$2*$F$2*$G$2*Средн!$D$22*B28)/100,2)</f>
        <v>0</v>
      </c>
    </row>
    <row r="29" spans="1:8" x14ac:dyDescent="0.25">
      <c r="A29" s="38" t="s">
        <v>211</v>
      </c>
      <c r="B29" s="90">
        <v>1.9</v>
      </c>
      <c r="C29" s="33">
        <f>ROUND(($E$2*$F$2*$G$2*Средн!$D$22*B29)/100,2)</f>
        <v>0</v>
      </c>
    </row>
    <row r="30" spans="1:8" x14ac:dyDescent="0.25">
      <c r="A30" s="38" t="s">
        <v>212</v>
      </c>
      <c r="B30" s="90">
        <v>0.8</v>
      </c>
      <c r="C30" s="33">
        <f>ROUND(($E$2*$F$2*$G$2*Средн!$D$22*B30)/100,2)</f>
        <v>0</v>
      </c>
    </row>
    <row r="31" spans="1:8" x14ac:dyDescent="0.25">
      <c r="A31" s="38" t="s">
        <v>213</v>
      </c>
      <c r="B31" s="90">
        <v>1.9</v>
      </c>
      <c r="C31" s="33">
        <f>ROUND(($E$2*$F$2*$G$2*Средн!$D$22*B31)/100,2)</f>
        <v>0</v>
      </c>
    </row>
    <row r="32" spans="1:8" x14ac:dyDescent="0.25">
      <c r="A32" s="38" t="s">
        <v>214</v>
      </c>
      <c r="B32" s="90">
        <v>0.8</v>
      </c>
      <c r="C32" s="33">
        <f>ROUND(($E$2*$F$2*$G$2*Средн!$D$22*B32)/100,2)</f>
        <v>0</v>
      </c>
    </row>
    <row r="33" spans="1:4" x14ac:dyDescent="0.25">
      <c r="A33" s="38" t="s">
        <v>215</v>
      </c>
      <c r="B33" s="90">
        <v>0.8</v>
      </c>
      <c r="C33" s="33">
        <f>ROUND(($E$2*$F$2*$G$2*Средн!$D$22*B33)/100,2)</f>
        <v>0</v>
      </c>
    </row>
    <row r="34" spans="1:4" x14ac:dyDescent="0.25">
      <c r="A34" s="38" t="s">
        <v>216</v>
      </c>
      <c r="B34" s="90">
        <v>1.4</v>
      </c>
      <c r="C34" s="33">
        <f>ROUND(($E$2*$F$2*$G$2*Средн!$D$22*B34)/100,2)</f>
        <v>0</v>
      </c>
    </row>
    <row r="35" spans="1:4" x14ac:dyDescent="0.25">
      <c r="A35" s="38" t="s">
        <v>217</v>
      </c>
      <c r="B35" s="90">
        <v>1.7</v>
      </c>
      <c r="C35" s="33">
        <f>ROUND(($E$2*$F$2*$G$2*Средн!$D$22*B35)/100,2)</f>
        <v>0</v>
      </c>
    </row>
    <row r="36" spans="1:4" x14ac:dyDescent="0.25">
      <c r="A36" s="38" t="s">
        <v>218</v>
      </c>
      <c r="B36" s="90">
        <v>1.4</v>
      </c>
      <c r="C36" s="33">
        <f>ROUND(($E$2*$F$2*$G$2*Средн!$D$22*B36)/100,2)</f>
        <v>0</v>
      </c>
    </row>
    <row r="37" spans="1:4" x14ac:dyDescent="0.25">
      <c r="A37" s="38" t="s">
        <v>219</v>
      </c>
      <c r="B37" s="90">
        <v>0.3</v>
      </c>
      <c r="C37" s="33">
        <f>ROUND(($E$2*$F$2*$G$2*Средн!$D$22*B37)/100,2)</f>
        <v>0</v>
      </c>
    </row>
    <row r="38" spans="1:4" x14ac:dyDescent="0.25">
      <c r="A38" s="38" t="s">
        <v>220</v>
      </c>
      <c r="B38" s="90">
        <v>12</v>
      </c>
      <c r="C38" s="33">
        <f>ROUND(($E$2*$F$2*$G$2*Средн!$D$22*B38)/100,2)</f>
        <v>0</v>
      </c>
      <c r="D38" s="37" t="s">
        <v>298</v>
      </c>
    </row>
    <row r="39" spans="1:4" x14ac:dyDescent="0.25">
      <c r="A39" s="38" t="s">
        <v>221</v>
      </c>
      <c r="B39" s="90">
        <v>1.6</v>
      </c>
      <c r="C39" s="33">
        <f>ROUND(($E$2*$F$2*$G$2*Средн!$D$22*B39)/100,2)</f>
        <v>0</v>
      </c>
    </row>
    <row r="40" spans="1:4" x14ac:dyDescent="0.25">
      <c r="A40" s="38" t="s">
        <v>222</v>
      </c>
      <c r="B40" s="90">
        <v>2.1</v>
      </c>
      <c r="C40" s="33">
        <f>ROUND(($E$2*$F$2*$G$2*Средн!$D$22*B40)/100,2)</f>
        <v>0</v>
      </c>
      <c r="D40" s="37" t="s">
        <v>297</v>
      </c>
    </row>
    <row r="41" spans="1:4" x14ac:dyDescent="0.25">
      <c r="A41" s="38" t="s">
        <v>223</v>
      </c>
      <c r="B41" s="90">
        <v>1.9</v>
      </c>
      <c r="C41" s="33">
        <f>ROUND(($E$2*$F$2*$G$2*Средн!$D$22*B41)/100,2)</f>
        <v>0</v>
      </c>
    </row>
    <row r="42" spans="1:4" x14ac:dyDescent="0.25">
      <c r="A42" s="38" t="s">
        <v>224</v>
      </c>
      <c r="B42" s="90">
        <v>0.8</v>
      </c>
      <c r="C42" s="33">
        <f>ROUND(($E$2*$F$2*$G$2*Средн!$D$22*B42)/100,2)</f>
        <v>0</v>
      </c>
    </row>
    <row r="43" spans="1:4" x14ac:dyDescent="0.25">
      <c r="A43" s="38" t="s">
        <v>225</v>
      </c>
      <c r="B43" s="90">
        <v>0.8</v>
      </c>
      <c r="C43" s="33">
        <f>ROUND(($E$2*$F$2*$G$2*Средн!$D$22*B43)/100,2)</f>
        <v>0</v>
      </c>
    </row>
    <row r="44" spans="1:4" x14ac:dyDescent="0.25">
      <c r="A44" s="38" t="s">
        <v>226</v>
      </c>
      <c r="B44" s="90">
        <v>1.1000000000000001</v>
      </c>
      <c r="C44" s="33">
        <f>ROUND(($E$2*$F$2*$G$2*Средн!$D$22*B44)/100,2)</f>
        <v>0</v>
      </c>
    </row>
    <row r="45" spans="1:4" x14ac:dyDescent="0.25">
      <c r="A45" s="38" t="s">
        <v>227</v>
      </c>
      <c r="B45" s="90">
        <v>1.6</v>
      </c>
      <c r="C45" s="33">
        <f>ROUND(($E$2*$F$2*$G$2*Средн!$D$22*B45)/100,2)</f>
        <v>0</v>
      </c>
    </row>
    <row r="46" spans="1:4" x14ac:dyDescent="0.25">
      <c r="A46" s="38" t="s">
        <v>228</v>
      </c>
      <c r="B46" s="90">
        <v>24</v>
      </c>
      <c r="C46" s="33">
        <f>ROUND(($E$2*$F$2*$G$2*Средн!$D$22*B46)/100,2)</f>
        <v>0</v>
      </c>
      <c r="D46" s="37" t="s">
        <v>296</v>
      </c>
    </row>
    <row r="47" spans="1:4" x14ac:dyDescent="0.25">
      <c r="A47" s="38" t="s">
        <v>229</v>
      </c>
      <c r="B47" s="90">
        <v>1.4</v>
      </c>
      <c r="C47" s="33">
        <f>ROUND(($E$2*$F$2*$G$2*Средн!$D$22*B47)/100,2)</f>
        <v>0</v>
      </c>
    </row>
    <row r="48" spans="1:4" x14ac:dyDescent="0.25">
      <c r="A48" s="38" t="s">
        <v>230</v>
      </c>
      <c r="B48" s="90">
        <v>1.4</v>
      </c>
      <c r="C48" s="33">
        <f>ROUND(($E$2*$F$2*$G$2*Средн!$D$22*B48)/100,2)</f>
        <v>0</v>
      </c>
      <c r="D48" s="37" t="s">
        <v>295</v>
      </c>
    </row>
    <row r="49" spans="1:4" x14ac:dyDescent="0.25">
      <c r="A49" s="38" t="s">
        <v>231</v>
      </c>
      <c r="B49" s="90">
        <v>2.5</v>
      </c>
      <c r="C49" s="33">
        <f>ROUND(($E$2*$F$2*$G$2*Средн!$D$22*B49)/100,2)</f>
        <v>0</v>
      </c>
      <c r="D49" s="37" t="s">
        <v>300</v>
      </c>
    </row>
    <row r="50" spans="1:4" x14ac:dyDescent="0.25">
      <c r="A50" s="38" t="s">
        <v>232</v>
      </c>
      <c r="B50" s="90">
        <v>1.9</v>
      </c>
      <c r="C50" s="33">
        <f>ROUND(($E$2*$F$2*$G$2*Средн!$D$22*B50)/100,2)</f>
        <v>0</v>
      </c>
    </row>
    <row r="51" spans="1:4" x14ac:dyDescent="0.25">
      <c r="A51" s="38" t="s">
        <v>233</v>
      </c>
      <c r="B51" s="90">
        <v>0.5</v>
      </c>
      <c r="C51" s="33">
        <f>ROUND(($E$2*$F$2*$G$2*Средн!$D$22*B51)/100,2)</f>
        <v>0</v>
      </c>
    </row>
    <row r="52" spans="1:4" x14ac:dyDescent="0.25">
      <c r="A52" s="38" t="s">
        <v>234</v>
      </c>
      <c r="B52" s="90">
        <v>1.1000000000000001</v>
      </c>
      <c r="C52" s="33">
        <f>ROUND(($E$2*$F$2*$G$2*Средн!$D$22*B52)/100,2)</f>
        <v>0</v>
      </c>
    </row>
    <row r="53" spans="1:4" x14ac:dyDescent="0.25">
      <c r="A53" s="38" t="s">
        <v>235</v>
      </c>
      <c r="B53" s="90">
        <v>3.5</v>
      </c>
      <c r="C53" s="33">
        <f>ROUND(($E$2*$F$2*$G$2*Средн!$D$22*B53)/100,2)</f>
        <v>0</v>
      </c>
    </row>
    <row r="54" spans="1:4" x14ac:dyDescent="0.25">
      <c r="A54" s="38" t="s">
        <v>236</v>
      </c>
      <c r="B54" s="90">
        <v>0.8</v>
      </c>
      <c r="C54" s="33">
        <f>ROUND(($E$2*$F$2*$G$2*Средн!$D$22*B54)/100,2)</f>
        <v>0</v>
      </c>
    </row>
    <row r="55" spans="1:4" x14ac:dyDescent="0.25">
      <c r="A55" s="38" t="s">
        <v>237</v>
      </c>
      <c r="B55" s="90">
        <v>2.5</v>
      </c>
      <c r="C55" s="33">
        <f>ROUND(($E$2*$F$2*$G$2*Средн!$D$22*B55)/100,2)</f>
        <v>0</v>
      </c>
    </row>
    <row r="56" spans="1:4" x14ac:dyDescent="0.25">
      <c r="A56" s="38" t="s">
        <v>238</v>
      </c>
      <c r="B56" s="90">
        <v>0.3</v>
      </c>
      <c r="C56" s="33">
        <f>ROUND(($E$2*$F$2*$G$2*Средн!$D$22*B56)/100,2)</f>
        <v>0</v>
      </c>
    </row>
    <row r="57" spans="1:4" x14ac:dyDescent="0.25">
      <c r="A57" s="38" t="s">
        <v>239</v>
      </c>
      <c r="B57" s="90">
        <v>0.6</v>
      </c>
      <c r="C57" s="33">
        <f>ROUND(($E$2*$F$2*$G$2*Средн!$D$22*B57)/100,2)</f>
        <v>0</v>
      </c>
    </row>
    <row r="58" spans="1:4" x14ac:dyDescent="0.25">
      <c r="A58" s="38" t="s">
        <v>240</v>
      </c>
      <c r="B58" s="90">
        <v>11</v>
      </c>
      <c r="C58" s="33">
        <f>ROUND(($E$2*$F$2*$G$2*Средн!$D$22*B58)/100,2)</f>
        <v>0</v>
      </c>
      <c r="D58" s="37" t="s">
        <v>294</v>
      </c>
    </row>
    <row r="59" spans="1:4" x14ac:dyDescent="0.25">
      <c r="A59" s="38" t="s">
        <v>241</v>
      </c>
      <c r="B59" s="90">
        <v>4.9000000000000004</v>
      </c>
      <c r="C59" s="33">
        <f>ROUND(($E$2*$F$2*$G$2*Средн!$D$22*B59)/100,2)</f>
        <v>0</v>
      </c>
    </row>
    <row r="60" spans="1:4" x14ac:dyDescent="0.25">
      <c r="A60" s="38" t="s">
        <v>242</v>
      </c>
      <c r="B60" s="90">
        <v>0.5</v>
      </c>
      <c r="C60" s="33">
        <f>ROUND(($E$2*$F$2*$G$2*Средн!$D$22*B60)/100,2)</f>
        <v>0</v>
      </c>
    </row>
    <row r="61" spans="1:4" x14ac:dyDescent="0.25">
      <c r="A61" s="38" t="s">
        <v>243</v>
      </c>
      <c r="B61" s="90">
        <v>0.5</v>
      </c>
      <c r="C61" s="33">
        <f>ROUND(($E$2*$F$2*$G$2*Средн!$D$22*B61)/100,2)</f>
        <v>0</v>
      </c>
    </row>
    <row r="62" spans="1:4" x14ac:dyDescent="0.25">
      <c r="A62" s="38" t="s">
        <v>244</v>
      </c>
      <c r="B62" s="90">
        <v>2.2000000000000002</v>
      </c>
      <c r="C62" s="33">
        <f>ROUND(($E$2*$F$2*$G$2*Средн!$D$22*B62)/100,2)</f>
        <v>0</v>
      </c>
    </row>
    <row r="63" spans="1:4" x14ac:dyDescent="0.25">
      <c r="A63" s="38" t="s">
        <v>245</v>
      </c>
      <c r="B63" s="90">
        <v>1.4</v>
      </c>
      <c r="C63" s="33">
        <f>ROUND(($E$2*$F$2*$G$2*Средн!$D$22*B63)/100,2)</f>
        <v>0</v>
      </c>
    </row>
    <row r="64" spans="1:4" x14ac:dyDescent="0.25">
      <c r="A64" s="38" t="s">
        <v>246</v>
      </c>
      <c r="B64" s="90">
        <v>0.8</v>
      </c>
      <c r="C64" s="33">
        <f>ROUND(($E$2*$F$2*$G$2*Средн!$D$22*B64)/100,2)</f>
        <v>0</v>
      </c>
    </row>
    <row r="65" spans="1:4" x14ac:dyDescent="0.25">
      <c r="A65" s="38" t="s">
        <v>247</v>
      </c>
      <c r="B65" s="90">
        <v>0.5</v>
      </c>
      <c r="C65" s="33">
        <f>ROUND(($E$2*$F$2*$G$2*Средн!$D$22*B65)/100,2)</f>
        <v>0</v>
      </c>
    </row>
    <row r="66" spans="1:4" x14ac:dyDescent="0.25">
      <c r="A66" s="38" t="s">
        <v>248</v>
      </c>
      <c r="B66" s="90">
        <v>0.5</v>
      </c>
      <c r="C66" s="33">
        <f>ROUND(($E$2*$F$2*$G$2*Средн!$D$22*B66)/100,2)</f>
        <v>0</v>
      </c>
    </row>
    <row r="67" spans="1:4" x14ac:dyDescent="0.25">
      <c r="A67" s="38" t="s">
        <v>249</v>
      </c>
      <c r="B67" s="90">
        <v>0.8</v>
      </c>
      <c r="C67" s="33">
        <f>ROUND(($E$2*$F$2*$G$2*Средн!$D$22*B67)/100,2)</f>
        <v>0</v>
      </c>
    </row>
    <row r="68" spans="1:4" x14ac:dyDescent="0.25">
      <c r="A68" s="38" t="s">
        <v>250</v>
      </c>
      <c r="B68" s="90">
        <v>0.5</v>
      </c>
      <c r="C68" s="33">
        <f>ROUND(($E$2*$F$2*$G$2*Средн!$D$22*B68)/100,2)</f>
        <v>0</v>
      </c>
    </row>
    <row r="69" spans="1:4" x14ac:dyDescent="0.25">
      <c r="A69" s="38" t="s">
        <v>251</v>
      </c>
      <c r="B69" s="90">
        <v>0.5</v>
      </c>
      <c r="C69" s="33">
        <f>ROUND(($E$2*$F$2*$G$2*Средн!$D$22*B69)/100,2)</f>
        <v>0</v>
      </c>
    </row>
    <row r="70" spans="1:4" x14ac:dyDescent="0.25">
      <c r="A70" s="38" t="s">
        <v>252</v>
      </c>
      <c r="B70" s="90">
        <v>0.8</v>
      </c>
      <c r="C70" s="33">
        <f>ROUND(($E$2*$F$2*$G$2*Средн!$D$22*B70)/100,2)</f>
        <v>0</v>
      </c>
    </row>
    <row r="71" spans="1:4" x14ac:dyDescent="0.25">
      <c r="A71" s="38" t="s">
        <v>253</v>
      </c>
      <c r="B71" s="90">
        <v>1.4</v>
      </c>
      <c r="C71" s="33">
        <f>ROUND(($E$2*$F$2*$G$2*Средн!$D$22*B71)/100,2)</f>
        <v>0</v>
      </c>
      <c r="D71" s="37" t="s">
        <v>289</v>
      </c>
    </row>
    <row r="72" spans="1:4" x14ac:dyDescent="0.25">
      <c r="A72" s="38" t="s">
        <v>254</v>
      </c>
      <c r="B72" s="90">
        <v>0.6</v>
      </c>
      <c r="C72" s="33">
        <f>ROUND(($E$2*$F$2*$G$2*Средн!$D$22*B72)/100,2)</f>
        <v>0</v>
      </c>
      <c r="D72" s="37" t="s">
        <v>289</v>
      </c>
    </row>
    <row r="73" spans="1:4" x14ac:dyDescent="0.25">
      <c r="A73" s="38" t="s">
        <v>255</v>
      </c>
      <c r="B73" s="90">
        <v>2.5</v>
      </c>
      <c r="C73" s="33">
        <f>ROUND(($E$2*$F$2*$G$2*Средн!$D$22*B73)/100,2)</f>
        <v>0</v>
      </c>
    </row>
    <row r="74" spans="1:4" x14ac:dyDescent="0.25">
      <c r="A74" s="38" t="s">
        <v>256</v>
      </c>
      <c r="B74" s="90">
        <v>0.7</v>
      </c>
      <c r="C74" s="33">
        <f>ROUND(($E$2*$F$2*$G$2*Средн!$D$22*B74)/100,2)</f>
        <v>0</v>
      </c>
    </row>
    <row r="75" spans="1:4" x14ac:dyDescent="0.25">
      <c r="A75" s="38" t="s">
        <v>257</v>
      </c>
      <c r="B75" s="90">
        <v>1.8</v>
      </c>
      <c r="C75" s="33">
        <f>ROUND(($E$2*$F$2*$G$2*Средн!$D$22*B75)/100,2)</f>
        <v>0</v>
      </c>
    </row>
    <row r="76" spans="1:4" x14ac:dyDescent="0.25">
      <c r="A76" s="38" t="s">
        <v>258</v>
      </c>
      <c r="B76" s="90">
        <v>4.5</v>
      </c>
      <c r="C76" s="33">
        <f>ROUND(($E$2*$F$2*$G$2*Средн!$D$22*B76)/100,2)</f>
        <v>0</v>
      </c>
    </row>
    <row r="77" spans="1:4" x14ac:dyDescent="0.25">
      <c r="A77" s="38" t="s">
        <v>259</v>
      </c>
      <c r="B77" s="90">
        <v>4.5</v>
      </c>
      <c r="C77" s="33">
        <f>ROUND(($E$2*$F$2*$G$2*Средн!$D$22*B77)/100,2)</f>
        <v>0</v>
      </c>
    </row>
    <row r="78" spans="1:4" x14ac:dyDescent="0.25">
      <c r="A78" s="38" t="s">
        <v>260</v>
      </c>
      <c r="B78" s="90">
        <v>10</v>
      </c>
      <c r="C78" s="33">
        <f>ROUND(($E$2*$F$2*$G$2*Средн!$D$22*B78)/100,2)</f>
        <v>0</v>
      </c>
    </row>
    <row r="79" spans="1:4" x14ac:dyDescent="0.25">
      <c r="A79" s="38" t="s">
        <v>261</v>
      </c>
      <c r="B79" s="90">
        <v>5.5</v>
      </c>
      <c r="C79" s="33">
        <f>ROUND(($E$2*$F$2*$G$2*Средн!$D$22*B79)/100,2)</f>
        <v>0</v>
      </c>
      <c r="D79" s="37" t="s">
        <v>292</v>
      </c>
    </row>
    <row r="80" spans="1:4" x14ac:dyDescent="0.25">
      <c r="A80" s="38" t="s">
        <v>262</v>
      </c>
      <c r="B80" s="90">
        <v>4.5</v>
      </c>
      <c r="C80" s="33">
        <f>ROUND(($E$2*$F$2*$G$2*Средн!$D$22*B80)/100,2)</f>
        <v>0</v>
      </c>
      <c r="D80" s="37" t="s">
        <v>291</v>
      </c>
    </row>
    <row r="81" spans="1:4" x14ac:dyDescent="0.25">
      <c r="A81" s="38" t="s">
        <v>263</v>
      </c>
      <c r="B81" s="90">
        <v>10</v>
      </c>
      <c r="C81" s="33">
        <f>ROUND(($E$2*$F$2*$G$2*Средн!$D$22*B81)/100,2)</f>
        <v>0</v>
      </c>
      <c r="D81" s="37" t="s">
        <v>293</v>
      </c>
    </row>
    <row r="82" spans="1:4" x14ac:dyDescent="0.25">
      <c r="A82" s="38" t="s">
        <v>264</v>
      </c>
      <c r="B82" s="90">
        <v>3</v>
      </c>
      <c r="C82" s="33">
        <f>ROUND(($E$2*$F$2*$G$2*Средн!$D$22*B82)/100,2)</f>
        <v>0</v>
      </c>
    </row>
    <row r="83" spans="1:4" x14ac:dyDescent="0.25">
      <c r="A83" s="38" t="s">
        <v>265</v>
      </c>
      <c r="B83" s="90">
        <v>0.5</v>
      </c>
      <c r="C83" s="33">
        <f>ROUND(($E$2*$F$2*$G$2*Средн!$D$22*B83)/100,2)</f>
        <v>0</v>
      </c>
    </row>
    <row r="84" spans="1:4" x14ac:dyDescent="0.25">
      <c r="A84" s="38" t="s">
        <v>266</v>
      </c>
      <c r="B84" s="90">
        <v>0.8</v>
      </c>
      <c r="C84" s="33">
        <f>ROUND(($E$2*$F$2*$G$2*Средн!$D$22*B84)/100,2)</f>
        <v>0</v>
      </c>
    </row>
    <row r="85" spans="1:4" x14ac:dyDescent="0.25">
      <c r="A85" s="38" t="s">
        <v>119</v>
      </c>
      <c r="B85" s="90">
        <v>1.2</v>
      </c>
      <c r="C85" s="33">
        <f>ROUND(($E$2*$F$2*$G$2*Средн!$D$22*B85)/100,2)</f>
        <v>0</v>
      </c>
    </row>
    <row r="86" spans="1:4" x14ac:dyDescent="0.25">
      <c r="A86" s="38" t="s">
        <v>267</v>
      </c>
      <c r="B86" s="90">
        <v>0.5</v>
      </c>
      <c r="C86" s="33">
        <f>ROUND(($E$2*$F$2*$G$2*Средн!$D$22*B86)/100,2)</f>
        <v>0</v>
      </c>
    </row>
    <row r="87" spans="1:4" x14ac:dyDescent="0.25">
      <c r="A87" s="38" t="s">
        <v>268</v>
      </c>
      <c r="B87" s="90">
        <v>0.3</v>
      </c>
      <c r="C87" s="33">
        <f>ROUND(($E$2*$F$2*$G$2*Средн!$D$22*B87)/100,2)</f>
        <v>0</v>
      </c>
    </row>
    <row r="88" spans="1:4" x14ac:dyDescent="0.25">
      <c r="A88" s="38" t="s">
        <v>269</v>
      </c>
      <c r="B88" s="90">
        <v>3.5</v>
      </c>
      <c r="C88" s="33">
        <f>ROUND(($E$2*$F$2*$G$2*Средн!$D$22*B88)/100,2)</f>
        <v>0</v>
      </c>
    </row>
    <row r="89" spans="1:4" x14ac:dyDescent="0.25">
      <c r="A89" s="38" t="s">
        <v>270</v>
      </c>
      <c r="B89" s="90">
        <v>0.5</v>
      </c>
      <c r="C89" s="33">
        <f>ROUND(($E$2*$F$2*$G$2*Средн!$D$22*B89)/100,2)</f>
        <v>0</v>
      </c>
    </row>
    <row r="90" spans="1:4" x14ac:dyDescent="0.25">
      <c r="A90" s="38" t="s">
        <v>271</v>
      </c>
      <c r="B90" s="90">
        <v>0.5</v>
      </c>
      <c r="C90" s="33">
        <f>ROUND(($E$2*$F$2*$G$2*Средн!$D$22*B90)/100,2)</f>
        <v>0</v>
      </c>
    </row>
    <row r="91" spans="1:4" x14ac:dyDescent="0.25">
      <c r="A91" s="38" t="s">
        <v>272</v>
      </c>
      <c r="B91" s="90">
        <v>0.3</v>
      </c>
      <c r="C91" s="33">
        <f>ROUND(($E$2*$F$2*$G$2*Средн!$D$22*B91)/100,2)</f>
        <v>0</v>
      </c>
    </row>
    <row r="92" spans="1:4" x14ac:dyDescent="0.25">
      <c r="A92" s="38" t="s">
        <v>273</v>
      </c>
      <c r="B92" s="90">
        <v>0.7</v>
      </c>
      <c r="C92" s="33">
        <f>ROUND(($E$2*$F$2*$G$2*Средн!$D$22*B92)/100,2)</f>
        <v>0</v>
      </c>
    </row>
    <row r="93" spans="1:4" x14ac:dyDescent="0.25">
      <c r="A93" s="38" t="s">
        <v>274</v>
      </c>
      <c r="B93" s="90">
        <v>12.5</v>
      </c>
      <c r="C93" s="33">
        <f>ROUND(($E$2*$F$2*$G$2*Средн!$D$22*B93)/100,2)</f>
        <v>0</v>
      </c>
    </row>
    <row r="94" spans="1:4" x14ac:dyDescent="0.25">
      <c r="A94" s="38" t="s">
        <v>275</v>
      </c>
      <c r="B94" s="90">
        <v>0.5</v>
      </c>
      <c r="C94" s="33">
        <f>ROUND(($E$2*$F$2*$G$2*Средн!$D$22*B94)/100,2)</f>
        <v>0</v>
      </c>
    </row>
    <row r="95" spans="1:4" x14ac:dyDescent="0.25">
      <c r="A95" s="38" t="s">
        <v>276</v>
      </c>
      <c r="B95" s="90">
        <v>0.5</v>
      </c>
      <c r="C95" s="33">
        <f>ROUND(($E$2*$F$2*$G$2*Средн!$D$22*B95)/100,2)</f>
        <v>0</v>
      </c>
    </row>
    <row r="96" spans="1:4" x14ac:dyDescent="0.25">
      <c r="A96" s="38" t="s">
        <v>277</v>
      </c>
      <c r="B96" s="90">
        <v>1</v>
      </c>
      <c r="C96" s="33">
        <f>ROUND(($E$2*$F$2*$G$2*Средн!$D$22*B96)/100,2)</f>
        <v>0</v>
      </c>
    </row>
    <row r="97" spans="1:4" x14ac:dyDescent="0.25">
      <c r="A97" s="38" t="s">
        <v>278</v>
      </c>
      <c r="B97" s="90">
        <v>0.5</v>
      </c>
      <c r="C97" s="33">
        <f>ROUND(($E$2*$F$2*$G$2*Средн!$D$22*B97)/100,2)</f>
        <v>0</v>
      </c>
    </row>
    <row r="98" spans="1:4" x14ac:dyDescent="0.25">
      <c r="A98" s="38" t="s">
        <v>279</v>
      </c>
      <c r="B98" s="90">
        <v>0.8</v>
      </c>
      <c r="C98" s="33">
        <f>ROUND(($E$2*$F$2*$G$2*Средн!$D$22*B98)/100,2)</f>
        <v>0</v>
      </c>
    </row>
    <row r="99" spans="1:4" x14ac:dyDescent="0.25">
      <c r="A99" s="38" t="s">
        <v>280</v>
      </c>
      <c r="B99" s="90">
        <v>2.1</v>
      </c>
      <c r="C99" s="33">
        <f>ROUND(($E$2*$F$2*$G$2*Средн!$D$22*B99)/100,2)</f>
        <v>0</v>
      </c>
    </row>
    <row r="100" spans="1:4" x14ac:dyDescent="0.25">
      <c r="A100" s="38" t="s">
        <v>281</v>
      </c>
      <c r="B100" s="90">
        <v>0.5</v>
      </c>
      <c r="C100" s="33">
        <f>ROUND(($E$2*$F$2*$G$2*Средн!$D$22*B100)/100,2)</f>
        <v>0</v>
      </c>
    </row>
    <row r="101" spans="1:4" x14ac:dyDescent="0.25">
      <c r="A101" s="38" t="s">
        <v>282</v>
      </c>
      <c r="B101" s="90">
        <v>0.6</v>
      </c>
      <c r="C101" s="33">
        <f>ROUND(($E$2*$F$2*$G$2*Средн!$D$22*B101)/100,2)</f>
        <v>0</v>
      </c>
    </row>
    <row r="102" spans="1:4" x14ac:dyDescent="0.25">
      <c r="A102" s="38" t="s">
        <v>283</v>
      </c>
      <c r="B102" s="90">
        <v>1.1000000000000001</v>
      </c>
      <c r="C102" s="33">
        <f>ROUND(($E$2*$F$2*$G$2*Средн!$D$22*B102)/100,2)</f>
        <v>0</v>
      </c>
    </row>
    <row r="103" spans="1:4" x14ac:dyDescent="0.25">
      <c r="A103" s="38" t="s">
        <v>284</v>
      </c>
      <c r="B103" s="90">
        <v>0.9</v>
      </c>
      <c r="C103" s="33">
        <f>ROUND(($E$2*$F$2*$G$2*Средн!$D$22*B103)/100,2)</f>
        <v>0</v>
      </c>
    </row>
    <row r="104" spans="1:4" x14ac:dyDescent="0.25">
      <c r="A104" s="38" t="s">
        <v>285</v>
      </c>
      <c r="B104" s="90">
        <v>0.8</v>
      </c>
      <c r="C104" s="33">
        <f>ROUND(($E$2*$F$2*$G$2*Средн!$D$22*B104)/100,2)</f>
        <v>0</v>
      </c>
    </row>
    <row r="105" spans="1:4" x14ac:dyDescent="0.25">
      <c r="A105" s="38" t="s">
        <v>286</v>
      </c>
      <c r="B105" s="90">
        <v>0.3</v>
      </c>
      <c r="C105" s="33">
        <f>ROUND(($E$2*$F$2*$G$2*Средн!$D$22*B105)/100,2)</f>
        <v>0</v>
      </c>
    </row>
    <row r="106" spans="1:4" x14ac:dyDescent="0.25">
      <c r="A106" s="38" t="s">
        <v>287</v>
      </c>
      <c r="B106" s="90">
        <v>0.8</v>
      </c>
      <c r="C106" s="33">
        <f>ROUND(($E$2*$F$2*$G$2*Средн!$D$22*B106)/100,2)</f>
        <v>0</v>
      </c>
    </row>
    <row r="107" spans="1:4" x14ac:dyDescent="0.25">
      <c r="A107" s="38" t="s">
        <v>120</v>
      </c>
      <c r="B107" s="90">
        <v>3</v>
      </c>
      <c r="C107" s="33">
        <f>ROUND(($E$2*$F$2*$G$2*Средн!$D$22*B107)/100,2)</f>
        <v>0</v>
      </c>
      <c r="D107" s="37" t="s">
        <v>290</v>
      </c>
    </row>
    <row r="108" spans="1:4" x14ac:dyDescent="0.25">
      <c r="B108" s="50">
        <f>SUM(B27:B107)</f>
        <v>246.00000000000009</v>
      </c>
      <c r="C108" s="50">
        <f>SUM(C27:C107)</f>
        <v>0</v>
      </c>
    </row>
    <row r="109" spans="1:4" x14ac:dyDescent="0.25">
      <c r="A109" s="37" t="s">
        <v>341</v>
      </c>
      <c r="B109" s="88"/>
      <c r="C109" s="50"/>
    </row>
    <row r="110" spans="1:4" x14ac:dyDescent="0.25">
      <c r="A110" s="37" t="s">
        <v>342</v>
      </c>
      <c r="B110" s="88"/>
      <c r="C110" s="50"/>
    </row>
    <row r="111" spans="1:4" x14ac:dyDescent="0.25">
      <c r="A111" s="37" t="s">
        <v>343</v>
      </c>
      <c r="B111" s="88"/>
      <c r="C111" s="50"/>
    </row>
    <row r="112" spans="1:4" x14ac:dyDescent="0.25">
      <c r="A112" s="37" t="s">
        <v>344</v>
      </c>
      <c r="B112" s="88"/>
      <c r="C112" s="50"/>
    </row>
    <row r="114" spans="1:9" x14ac:dyDescent="0.25">
      <c r="A114" s="84" t="s">
        <v>349</v>
      </c>
      <c r="B114" s="88"/>
    </row>
    <row r="115" spans="1:9" x14ac:dyDescent="0.25">
      <c r="A115" s="73" t="s">
        <v>191</v>
      </c>
      <c r="B115" s="93" t="s">
        <v>335</v>
      </c>
      <c r="C115" s="92" t="s">
        <v>208</v>
      </c>
      <c r="D115" s="93" t="s">
        <v>335</v>
      </c>
      <c r="E115" s="94" t="s">
        <v>336</v>
      </c>
      <c r="F115" s="95" t="s">
        <v>337</v>
      </c>
      <c r="G115" s="95" t="s">
        <v>338</v>
      </c>
      <c r="H115" s="95" t="s">
        <v>339</v>
      </c>
      <c r="I115" s="95" t="s">
        <v>340</v>
      </c>
    </row>
    <row r="116" spans="1:9" x14ac:dyDescent="0.25">
      <c r="A116" s="38" t="s">
        <v>301</v>
      </c>
      <c r="B116" s="90">
        <v>24</v>
      </c>
      <c r="C116" s="33">
        <f>ROUND(($E$2*$F$2*$G$2*Средн!$D$22*B116)/100,2)</f>
        <v>0</v>
      </c>
      <c r="D116" s="91" t="s">
        <v>302</v>
      </c>
      <c r="E116" s="91" t="s">
        <v>303</v>
      </c>
      <c r="F116" s="91" t="s">
        <v>304</v>
      </c>
      <c r="G116" s="91" t="s">
        <v>305</v>
      </c>
      <c r="H116" s="91" t="s">
        <v>306</v>
      </c>
      <c r="I116" s="91" t="s">
        <v>307</v>
      </c>
    </row>
    <row r="117" spans="1:9" x14ac:dyDescent="0.25">
      <c r="A117" s="38" t="s">
        <v>308</v>
      </c>
      <c r="B117" s="90">
        <v>1</v>
      </c>
      <c r="C117" s="33">
        <f>ROUND(($E$2*$F$2*$G$2*Средн!$D$22*B117)/100,2)</f>
        <v>0</v>
      </c>
      <c r="D117" s="90">
        <v>1</v>
      </c>
      <c r="E117" s="90">
        <v>1</v>
      </c>
      <c r="F117" s="90">
        <v>0.9</v>
      </c>
      <c r="G117" s="90">
        <v>0.9</v>
      </c>
      <c r="H117" s="90">
        <v>0.8</v>
      </c>
      <c r="I117" s="91">
        <v>1</v>
      </c>
    </row>
    <row r="118" spans="1:9" x14ac:dyDescent="0.25">
      <c r="A118" s="38" t="s">
        <v>211</v>
      </c>
      <c r="B118" s="90">
        <v>1.3</v>
      </c>
      <c r="C118" s="33">
        <f>ROUND(($E$2*$F$2*$G$2*Средн!$D$22*B118)/100,2)</f>
        <v>0</v>
      </c>
      <c r="D118" s="91" t="s">
        <v>345</v>
      </c>
      <c r="E118" s="91" t="s">
        <v>346</v>
      </c>
      <c r="F118" s="91" t="s">
        <v>346</v>
      </c>
      <c r="G118" s="91" t="s">
        <v>347</v>
      </c>
      <c r="H118" s="91" t="s">
        <v>348</v>
      </c>
      <c r="I118" s="91" t="s">
        <v>346</v>
      </c>
    </row>
    <row r="119" spans="1:9" x14ac:dyDescent="0.25">
      <c r="A119" s="38" t="s">
        <v>214</v>
      </c>
      <c r="B119" s="90">
        <v>0.4</v>
      </c>
      <c r="C119" s="33">
        <f>ROUND(($E$2*$F$2*$G$2*Средн!$D$22*B119)/100,2)</f>
        <v>0</v>
      </c>
      <c r="D119" s="90">
        <v>0.4</v>
      </c>
      <c r="E119" s="90">
        <v>0.4</v>
      </c>
      <c r="F119" s="90">
        <v>0.4</v>
      </c>
      <c r="G119" s="90">
        <v>0.4</v>
      </c>
      <c r="H119" s="90">
        <v>0.4</v>
      </c>
      <c r="I119" s="91">
        <v>0.4</v>
      </c>
    </row>
    <row r="120" spans="1:9" x14ac:dyDescent="0.25">
      <c r="A120" s="38" t="s">
        <v>217</v>
      </c>
      <c r="B120" s="90">
        <v>0.6</v>
      </c>
      <c r="C120" s="33">
        <f>ROUND(($E$2*$F$2*$G$2*Средн!$D$22*B120)/100,2)</f>
        <v>0</v>
      </c>
      <c r="D120" s="90">
        <v>0.6</v>
      </c>
      <c r="E120" s="90">
        <v>0.5</v>
      </c>
      <c r="F120" s="90">
        <v>0.5</v>
      </c>
      <c r="G120" s="90">
        <v>0.5</v>
      </c>
      <c r="H120" s="90">
        <v>0.4</v>
      </c>
      <c r="I120" s="91">
        <v>0.5</v>
      </c>
    </row>
    <row r="121" spans="1:9" x14ac:dyDescent="0.25">
      <c r="A121" s="38" t="s">
        <v>309</v>
      </c>
      <c r="B121" s="90">
        <v>0.5</v>
      </c>
      <c r="C121" s="33">
        <f>ROUND(($E$2*$F$2*$G$2*Средн!$D$22*B121)/100,2)</f>
        <v>0</v>
      </c>
      <c r="D121" s="90">
        <v>0.5</v>
      </c>
      <c r="E121" s="90">
        <v>0.5</v>
      </c>
      <c r="F121" s="90">
        <v>0.5</v>
      </c>
      <c r="G121" s="90">
        <v>0.5</v>
      </c>
      <c r="H121" s="90">
        <v>0.4</v>
      </c>
      <c r="I121" s="91">
        <v>0.5</v>
      </c>
    </row>
    <row r="122" spans="1:9" x14ac:dyDescent="0.25">
      <c r="A122" s="38" t="s">
        <v>223</v>
      </c>
      <c r="B122" s="90">
        <v>0.3</v>
      </c>
      <c r="C122" s="33">
        <f>ROUND(($E$2*$F$2*$G$2*Средн!$D$22*B122)/100,2)</f>
        <v>0</v>
      </c>
      <c r="D122" s="90">
        <v>0.3</v>
      </c>
      <c r="E122" s="90">
        <v>0.3</v>
      </c>
      <c r="F122" s="90">
        <v>0.3</v>
      </c>
      <c r="G122" s="90">
        <v>0.3</v>
      </c>
      <c r="H122" s="90">
        <v>0.3</v>
      </c>
      <c r="I122" s="91">
        <v>0.3</v>
      </c>
    </row>
    <row r="123" spans="1:9" x14ac:dyDescent="0.25">
      <c r="A123" s="38" t="s">
        <v>310</v>
      </c>
      <c r="B123" s="90">
        <v>0.9</v>
      </c>
      <c r="C123" s="33">
        <f>ROUND(($E$2*$F$2*$G$2*Средн!$D$22*B123)/100,2)</f>
        <v>0</v>
      </c>
      <c r="D123" s="90">
        <v>0.9</v>
      </c>
      <c r="E123" s="90">
        <v>0.8</v>
      </c>
      <c r="F123" s="90">
        <v>0.8</v>
      </c>
      <c r="G123" s="90">
        <v>0.7</v>
      </c>
      <c r="H123" s="90">
        <v>0.6</v>
      </c>
      <c r="I123" s="91">
        <v>0.8</v>
      </c>
    </row>
    <row r="124" spans="1:9" x14ac:dyDescent="0.25">
      <c r="A124" s="38" t="s">
        <v>311</v>
      </c>
      <c r="B124" s="90">
        <v>2.8</v>
      </c>
      <c r="C124" s="33">
        <f>ROUND(($E$2*$F$2*$G$2*Средн!$D$22*B124)/100,2)</f>
        <v>0</v>
      </c>
      <c r="D124" s="90">
        <v>2.8</v>
      </c>
      <c r="E124" s="90">
        <v>2.6</v>
      </c>
      <c r="F124" s="90">
        <v>2.5</v>
      </c>
      <c r="G124" s="90">
        <v>2.2999999999999998</v>
      </c>
      <c r="H124" s="90">
        <v>2</v>
      </c>
      <c r="I124" s="91">
        <v>2.6</v>
      </c>
    </row>
    <row r="125" spans="1:9" x14ac:dyDescent="0.25">
      <c r="A125" s="38" t="s">
        <v>312</v>
      </c>
      <c r="B125" s="90">
        <v>0.6</v>
      </c>
      <c r="C125" s="33">
        <f>ROUND(($E$2*$F$2*$G$2*Средн!$D$22*B125)/100,2)</f>
        <v>0</v>
      </c>
      <c r="D125" s="90">
        <v>0.6</v>
      </c>
      <c r="E125" s="90">
        <v>0.6</v>
      </c>
      <c r="F125" s="90">
        <v>0.6</v>
      </c>
      <c r="G125" s="90">
        <v>0.6</v>
      </c>
      <c r="H125" s="90">
        <v>0.5</v>
      </c>
      <c r="I125" s="91">
        <v>0.6</v>
      </c>
    </row>
    <row r="126" spans="1:9" x14ac:dyDescent="0.25">
      <c r="A126" s="38" t="s">
        <v>232</v>
      </c>
      <c r="B126" s="90">
        <v>2.1</v>
      </c>
      <c r="C126" s="33">
        <f>ROUND(($E$2*$F$2*$G$2*Средн!$D$22*B126)/100,2)</f>
        <v>0</v>
      </c>
      <c r="D126" s="90">
        <v>2.1</v>
      </c>
      <c r="E126" s="90">
        <v>2</v>
      </c>
      <c r="F126" s="90">
        <v>1.9</v>
      </c>
      <c r="G126" s="90">
        <v>1.8</v>
      </c>
      <c r="H126" s="90">
        <v>1.6</v>
      </c>
      <c r="I126" s="91">
        <v>2.1</v>
      </c>
    </row>
    <row r="127" spans="1:9" x14ac:dyDescent="0.25">
      <c r="A127" s="38" t="s">
        <v>313</v>
      </c>
      <c r="B127" s="90">
        <v>0.5</v>
      </c>
      <c r="C127" s="33">
        <f>ROUND(($E$2*$F$2*$G$2*Средн!$D$22*B127)/100,2)</f>
        <v>0</v>
      </c>
      <c r="D127" s="90">
        <v>0.5</v>
      </c>
      <c r="E127" s="90">
        <v>0.5</v>
      </c>
      <c r="F127" s="90">
        <v>0.5</v>
      </c>
      <c r="G127" s="90">
        <v>0.5</v>
      </c>
      <c r="H127" s="90">
        <v>0.5</v>
      </c>
      <c r="I127" s="91">
        <v>0.5</v>
      </c>
    </row>
    <row r="128" spans="1:9" x14ac:dyDescent="0.25">
      <c r="A128" s="38" t="s">
        <v>234</v>
      </c>
      <c r="B128" s="90">
        <v>0.8</v>
      </c>
      <c r="C128" s="33">
        <f>ROUND(($E$2*$F$2*$G$2*Средн!$D$22*B128)/100,2)</f>
        <v>0</v>
      </c>
      <c r="D128" s="90">
        <v>0.8</v>
      </c>
      <c r="E128" s="90">
        <v>0.8</v>
      </c>
      <c r="F128" s="90">
        <v>0.8</v>
      </c>
      <c r="G128" s="90">
        <v>0.8</v>
      </c>
      <c r="H128" s="90">
        <v>0.7</v>
      </c>
      <c r="I128" s="91">
        <v>0.8</v>
      </c>
    </row>
    <row r="129" spans="1:9" x14ac:dyDescent="0.25">
      <c r="A129" s="38" t="s">
        <v>314</v>
      </c>
      <c r="B129" s="90">
        <v>1.3</v>
      </c>
      <c r="C129" s="33">
        <f>ROUND(($E$2*$F$2*$G$2*Средн!$D$22*B129)/100,2)</f>
        <v>0</v>
      </c>
      <c r="D129" s="90">
        <v>1.3</v>
      </c>
      <c r="E129" s="90">
        <v>1.2</v>
      </c>
      <c r="F129" s="90">
        <v>1.2</v>
      </c>
      <c r="G129" s="90">
        <v>1.1000000000000001</v>
      </c>
      <c r="H129" s="90">
        <v>1</v>
      </c>
      <c r="I129" s="91">
        <v>1.2</v>
      </c>
    </row>
    <row r="130" spans="1:9" x14ac:dyDescent="0.25">
      <c r="A130" s="38" t="s">
        <v>315</v>
      </c>
      <c r="B130" s="90">
        <v>0.6</v>
      </c>
      <c r="C130" s="33">
        <f>ROUND(($E$2*$F$2*$G$2*Средн!$D$22*B130)/100,2)</f>
        <v>0</v>
      </c>
      <c r="D130" s="90">
        <v>0.6</v>
      </c>
      <c r="E130" s="90">
        <v>0.6</v>
      </c>
      <c r="F130" s="90">
        <v>0.6</v>
      </c>
      <c r="G130" s="90">
        <v>0.6</v>
      </c>
      <c r="H130" s="90">
        <v>0.6</v>
      </c>
      <c r="I130" s="91">
        <v>0.6</v>
      </c>
    </row>
    <row r="131" spans="1:9" x14ac:dyDescent="0.25">
      <c r="A131" s="38" t="s">
        <v>316</v>
      </c>
      <c r="B131" s="90">
        <v>0.7</v>
      </c>
      <c r="C131" s="33">
        <f>ROUND(($E$2*$F$2*$G$2*Средн!$D$22*B131)/100,2)</f>
        <v>0</v>
      </c>
      <c r="D131" s="90">
        <v>0.7</v>
      </c>
      <c r="E131" s="90">
        <v>0.7</v>
      </c>
      <c r="F131" s="90">
        <v>0.6</v>
      </c>
      <c r="G131" s="90">
        <v>0.6</v>
      </c>
      <c r="H131" s="90">
        <v>0.5</v>
      </c>
      <c r="I131" s="91">
        <v>0.7</v>
      </c>
    </row>
    <row r="132" spans="1:9" x14ac:dyDescent="0.25">
      <c r="A132" s="38" t="s">
        <v>317</v>
      </c>
      <c r="B132" s="90">
        <v>0.3</v>
      </c>
      <c r="C132" s="33">
        <f>ROUND(($E$2*$F$2*$G$2*Средн!$D$22*B132)/100,2)</f>
        <v>0</v>
      </c>
      <c r="D132" s="90">
        <v>0.3</v>
      </c>
      <c r="E132" s="90">
        <v>0.3</v>
      </c>
      <c r="F132" s="90">
        <v>0.3</v>
      </c>
      <c r="G132" s="90">
        <v>0.3</v>
      </c>
      <c r="H132" s="90">
        <v>0.3</v>
      </c>
      <c r="I132" s="91">
        <v>0.3</v>
      </c>
    </row>
    <row r="133" spans="1:9" x14ac:dyDescent="0.25">
      <c r="A133" s="38" t="s">
        <v>318</v>
      </c>
      <c r="B133" s="90">
        <v>0.2</v>
      </c>
      <c r="C133" s="33">
        <f>ROUND(($E$2*$F$2*$G$2*Средн!$D$22*B133)/100,2)</f>
        <v>0</v>
      </c>
      <c r="D133" s="90">
        <v>0.2</v>
      </c>
      <c r="E133" s="90">
        <v>0.2</v>
      </c>
      <c r="F133" s="90">
        <v>0.2</v>
      </c>
      <c r="G133" s="90">
        <v>0.2</v>
      </c>
      <c r="H133" s="90">
        <v>0.2</v>
      </c>
      <c r="I133" s="91">
        <v>0.2</v>
      </c>
    </row>
    <row r="134" spans="1:9" x14ac:dyDescent="0.25">
      <c r="A134" s="38" t="s">
        <v>319</v>
      </c>
      <c r="B134" s="90">
        <v>0.6</v>
      </c>
      <c r="C134" s="33">
        <f>ROUND(($E$2*$F$2*$G$2*Средн!$D$22*B134)/100,2)</f>
        <v>0</v>
      </c>
      <c r="D134" s="90">
        <v>0.6</v>
      </c>
      <c r="E134" s="90">
        <v>0.6</v>
      </c>
      <c r="F134" s="90">
        <v>0.6</v>
      </c>
      <c r="G134" s="90">
        <v>0.5</v>
      </c>
      <c r="H134" s="90">
        <v>0.5</v>
      </c>
      <c r="I134" s="91">
        <v>0.6</v>
      </c>
    </row>
    <row r="135" spans="1:9" x14ac:dyDescent="0.25">
      <c r="A135" s="38" t="s">
        <v>320</v>
      </c>
      <c r="B135" s="90">
        <v>0.2</v>
      </c>
      <c r="C135" s="33">
        <f>ROUND(($E$2*$F$2*$G$2*Средн!$D$22*B135)/100,2)</f>
        <v>0</v>
      </c>
      <c r="D135" s="90">
        <v>0.2</v>
      </c>
      <c r="E135" s="90">
        <v>0.2</v>
      </c>
      <c r="F135" s="90">
        <v>0.2</v>
      </c>
      <c r="G135" s="90">
        <v>0.2</v>
      </c>
      <c r="H135" s="90">
        <v>0.2</v>
      </c>
      <c r="I135" s="91">
        <v>0.2</v>
      </c>
    </row>
    <row r="136" spans="1:9" x14ac:dyDescent="0.25">
      <c r="A136" s="38" t="s">
        <v>321</v>
      </c>
      <c r="B136" s="90">
        <v>0.6</v>
      </c>
      <c r="C136" s="33">
        <f>ROUND(($E$2*$F$2*$G$2*Средн!$D$22*B136)/100,2)</f>
        <v>0</v>
      </c>
      <c r="D136" s="90">
        <v>0.6</v>
      </c>
      <c r="E136" s="90">
        <v>0.6</v>
      </c>
      <c r="F136" s="90">
        <v>0.5</v>
      </c>
      <c r="G136" s="90">
        <v>0.5</v>
      </c>
      <c r="H136" s="90">
        <v>0.5</v>
      </c>
      <c r="I136" s="91">
        <v>0.6</v>
      </c>
    </row>
    <row r="137" spans="1:9" x14ac:dyDescent="0.25">
      <c r="A137" s="38" t="s">
        <v>322</v>
      </c>
      <c r="B137" s="90">
        <v>2.5</v>
      </c>
      <c r="C137" s="33">
        <f>ROUND(($E$2*$F$2*$G$2*Средн!$D$22*B137)/100,2)</f>
        <v>0</v>
      </c>
      <c r="D137" s="90">
        <v>2.5</v>
      </c>
      <c r="E137" s="90">
        <v>2.2999999999999998</v>
      </c>
      <c r="F137" s="90">
        <v>2.1</v>
      </c>
      <c r="G137" s="90">
        <v>2</v>
      </c>
      <c r="H137" s="90">
        <v>1.7</v>
      </c>
      <c r="I137" s="91">
        <v>2.2999999999999998</v>
      </c>
    </row>
    <row r="138" spans="1:9" x14ac:dyDescent="0.25">
      <c r="A138" s="38" t="s">
        <v>323</v>
      </c>
      <c r="B138" s="90">
        <v>34</v>
      </c>
      <c r="C138" s="33">
        <f>ROUND(($E$2*$F$2*$G$2*Средн!$D$22*B138)/100,2)</f>
        <v>0</v>
      </c>
      <c r="D138" s="90">
        <v>34</v>
      </c>
      <c r="E138" s="90">
        <v>33</v>
      </c>
      <c r="F138" s="90">
        <v>31</v>
      </c>
      <c r="G138" s="90">
        <v>31</v>
      </c>
      <c r="H138" s="90">
        <v>29</v>
      </c>
      <c r="I138" s="91">
        <v>36</v>
      </c>
    </row>
    <row r="139" spans="1:9" x14ac:dyDescent="0.25">
      <c r="A139" s="38" t="s">
        <v>241</v>
      </c>
      <c r="B139" s="90">
        <v>21</v>
      </c>
      <c r="C139" s="33">
        <f>ROUND(($E$2*$F$2*$G$2*Средн!$D$22*B139)/100,2)</f>
        <v>0</v>
      </c>
      <c r="D139" s="90">
        <v>21</v>
      </c>
      <c r="E139" s="90">
        <v>20</v>
      </c>
      <c r="F139" s="90">
        <v>18</v>
      </c>
      <c r="G139" s="90">
        <v>18</v>
      </c>
      <c r="H139" s="90">
        <v>16</v>
      </c>
      <c r="I139" s="91">
        <v>23</v>
      </c>
    </row>
    <row r="140" spans="1:9" x14ac:dyDescent="0.25">
      <c r="A140" s="38" t="s">
        <v>242</v>
      </c>
      <c r="B140" s="90">
        <v>1</v>
      </c>
      <c r="C140" s="33">
        <f>ROUND(($E$2*$F$2*$G$2*Средн!$D$22*B140)/100,2)</f>
        <v>0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  <c r="I140" s="91">
        <v>1</v>
      </c>
    </row>
    <row r="141" spans="1:9" x14ac:dyDescent="0.25">
      <c r="A141" s="38" t="s">
        <v>243</v>
      </c>
      <c r="B141" s="90">
        <v>1</v>
      </c>
      <c r="C141" s="33">
        <f>ROUND(($E$2*$F$2*$G$2*Средн!$D$22*B141)/100,2)</f>
        <v>0</v>
      </c>
      <c r="D141" s="90">
        <v>1</v>
      </c>
      <c r="E141" s="90">
        <v>1</v>
      </c>
      <c r="F141" s="90">
        <v>1</v>
      </c>
      <c r="G141" s="90">
        <v>1</v>
      </c>
      <c r="H141" s="90">
        <v>1</v>
      </c>
      <c r="I141" s="91">
        <v>1</v>
      </c>
    </row>
    <row r="142" spans="1:9" x14ac:dyDescent="0.25">
      <c r="A142" s="38" t="s">
        <v>244</v>
      </c>
      <c r="B142" s="90">
        <v>14</v>
      </c>
      <c r="C142" s="33">
        <f>ROUND(($E$2*$F$2*$G$2*Средн!$D$22*B142)/100,2)</f>
        <v>0</v>
      </c>
      <c r="D142" s="90">
        <v>14</v>
      </c>
      <c r="E142" s="90">
        <v>13</v>
      </c>
      <c r="F142" s="90">
        <v>11</v>
      </c>
      <c r="G142" s="90">
        <v>11</v>
      </c>
      <c r="H142" s="90">
        <v>9</v>
      </c>
      <c r="I142" s="91">
        <v>16</v>
      </c>
    </row>
    <row r="143" spans="1:9" x14ac:dyDescent="0.25">
      <c r="A143" s="38" t="s">
        <v>246</v>
      </c>
      <c r="B143" s="90">
        <v>1.1000000000000001</v>
      </c>
      <c r="C143" s="33">
        <f>ROUND(($E$2*$F$2*$G$2*Средн!$D$22*B143)/100,2)</f>
        <v>0</v>
      </c>
      <c r="D143" s="90">
        <v>1.1000000000000001</v>
      </c>
      <c r="E143" s="90">
        <v>1.1000000000000001</v>
      </c>
      <c r="F143" s="90">
        <v>1.1000000000000001</v>
      </c>
      <c r="G143" s="90">
        <v>1.1000000000000001</v>
      </c>
      <c r="H143" s="90">
        <v>1.1000000000000001</v>
      </c>
      <c r="I143" s="91">
        <v>1.1000000000000001</v>
      </c>
    </row>
    <row r="144" spans="1:9" x14ac:dyDescent="0.25">
      <c r="A144" s="38" t="s">
        <v>247</v>
      </c>
      <c r="B144" s="90">
        <v>0.5</v>
      </c>
      <c r="C144" s="33">
        <f>ROUND(($E$2*$F$2*$G$2*Средн!$D$22*B144)/100,2)</f>
        <v>0</v>
      </c>
      <c r="D144" s="90">
        <v>0.5</v>
      </c>
      <c r="E144" s="90">
        <v>0.5</v>
      </c>
      <c r="F144" s="90">
        <v>0.5</v>
      </c>
      <c r="G144" s="90">
        <v>0.5</v>
      </c>
      <c r="H144" s="90">
        <v>0.5</v>
      </c>
      <c r="I144" s="91">
        <v>0.5</v>
      </c>
    </row>
    <row r="145" spans="1:9" x14ac:dyDescent="0.25">
      <c r="A145" s="38" t="s">
        <v>248</v>
      </c>
      <c r="B145" s="90">
        <v>0.5</v>
      </c>
      <c r="C145" s="33">
        <f>ROUND(($E$2*$F$2*$G$2*Средн!$D$22*B145)/100,2)</f>
        <v>0</v>
      </c>
      <c r="D145" s="90">
        <v>0.5</v>
      </c>
      <c r="E145" s="90">
        <v>0.5</v>
      </c>
      <c r="F145" s="90">
        <v>0.5</v>
      </c>
      <c r="G145" s="90">
        <v>0.5</v>
      </c>
      <c r="H145" s="90">
        <v>0.5</v>
      </c>
      <c r="I145" s="91">
        <v>0.5</v>
      </c>
    </row>
    <row r="146" spans="1:9" x14ac:dyDescent="0.25">
      <c r="A146" s="38" t="s">
        <v>324</v>
      </c>
      <c r="B146" s="90">
        <v>0.9</v>
      </c>
      <c r="C146" s="33">
        <f>ROUND(($E$2*$F$2*$G$2*Средн!$D$22*B146)/100,2)</f>
        <v>0</v>
      </c>
      <c r="D146" s="90">
        <v>0.9</v>
      </c>
      <c r="E146" s="90">
        <v>0.9</v>
      </c>
      <c r="F146" s="90">
        <v>0.9</v>
      </c>
      <c r="G146" s="90">
        <v>0.9</v>
      </c>
      <c r="H146" s="90">
        <v>0.9</v>
      </c>
      <c r="I146" s="91">
        <v>0.9</v>
      </c>
    </row>
    <row r="147" spans="1:9" x14ac:dyDescent="0.25">
      <c r="A147" s="38" t="s">
        <v>249</v>
      </c>
      <c r="B147" s="90">
        <v>1.4</v>
      </c>
      <c r="C147" s="33">
        <f>ROUND(($E$2*$F$2*$G$2*Средн!$D$22*B147)/100,2)</f>
        <v>0</v>
      </c>
      <c r="D147" s="90">
        <v>1.4</v>
      </c>
      <c r="E147" s="90">
        <v>1.4</v>
      </c>
      <c r="F147" s="90">
        <v>1.4</v>
      </c>
      <c r="G147" s="90">
        <v>1.4</v>
      </c>
      <c r="H147" s="90">
        <v>1.4</v>
      </c>
      <c r="I147" s="91">
        <v>1.4</v>
      </c>
    </row>
    <row r="148" spans="1:9" x14ac:dyDescent="0.25">
      <c r="A148" s="38" t="s">
        <v>325</v>
      </c>
      <c r="B148" s="90">
        <v>0.8</v>
      </c>
      <c r="C148" s="33">
        <f>ROUND(($E$2*$F$2*$G$2*Средн!$D$22*B148)/100,2)</f>
        <v>0</v>
      </c>
      <c r="D148" s="90">
        <v>0.8</v>
      </c>
      <c r="E148" s="90">
        <v>0.8</v>
      </c>
      <c r="F148" s="90">
        <v>0.8</v>
      </c>
      <c r="G148" s="90">
        <v>0.8</v>
      </c>
      <c r="H148" s="90">
        <v>0.8</v>
      </c>
      <c r="I148" s="91">
        <v>0.8</v>
      </c>
    </row>
    <row r="149" spans="1:9" x14ac:dyDescent="0.25">
      <c r="A149" s="38" t="s">
        <v>284</v>
      </c>
      <c r="B149" s="90">
        <v>0.9</v>
      </c>
      <c r="C149" s="33">
        <f>ROUND(($E$2*$F$2*$G$2*Средн!$D$22*B149)/100,2)</f>
        <v>0</v>
      </c>
      <c r="D149" s="90">
        <v>0.9</v>
      </c>
      <c r="E149" s="90">
        <v>0.9</v>
      </c>
      <c r="F149" s="90">
        <v>0.9</v>
      </c>
      <c r="G149" s="90">
        <v>0.9</v>
      </c>
      <c r="H149" s="90">
        <v>0.9</v>
      </c>
      <c r="I149" s="91">
        <v>0.9</v>
      </c>
    </row>
    <row r="150" spans="1:9" x14ac:dyDescent="0.25">
      <c r="A150" s="38" t="s">
        <v>326</v>
      </c>
      <c r="B150" s="90">
        <v>0.8</v>
      </c>
      <c r="C150" s="33">
        <f>ROUND(($E$2*$F$2*$G$2*Средн!$D$22*B150)/100,2)</f>
        <v>0</v>
      </c>
      <c r="D150" s="90">
        <v>0.8</v>
      </c>
      <c r="E150" s="90">
        <v>0.8</v>
      </c>
      <c r="F150" s="90">
        <v>0.8</v>
      </c>
      <c r="G150" s="90">
        <v>0.8</v>
      </c>
      <c r="H150" s="90">
        <v>0.8</v>
      </c>
      <c r="I150" s="91">
        <v>0.8</v>
      </c>
    </row>
    <row r="151" spans="1:9" x14ac:dyDescent="0.25">
      <c r="A151" s="38" t="s">
        <v>250</v>
      </c>
      <c r="B151" s="90">
        <v>1</v>
      </c>
      <c r="C151" s="33">
        <f>ROUND(($E$2*$F$2*$G$2*Средн!$D$22*B151)/100,2)</f>
        <v>0</v>
      </c>
      <c r="D151" s="90">
        <v>1</v>
      </c>
      <c r="E151" s="90">
        <v>1</v>
      </c>
      <c r="F151" s="90">
        <v>1</v>
      </c>
      <c r="G151" s="90">
        <v>1</v>
      </c>
      <c r="H151" s="90">
        <v>1</v>
      </c>
      <c r="I151" s="91">
        <v>1</v>
      </c>
    </row>
    <row r="152" spans="1:9" x14ac:dyDescent="0.25">
      <c r="A152" s="38" t="s">
        <v>251</v>
      </c>
      <c r="B152" s="90">
        <v>1.2</v>
      </c>
      <c r="C152" s="33">
        <f>ROUND(($E$2*$F$2*$G$2*Средн!$D$22*B152)/100,2)</f>
        <v>0</v>
      </c>
      <c r="D152" s="90">
        <v>1.2</v>
      </c>
      <c r="E152" s="90">
        <v>1.2</v>
      </c>
      <c r="F152" s="90">
        <v>1.2</v>
      </c>
      <c r="G152" s="90">
        <v>1.2</v>
      </c>
      <c r="H152" s="90">
        <v>1.2</v>
      </c>
      <c r="I152" s="91">
        <v>1.2</v>
      </c>
    </row>
    <row r="153" spans="1:9" x14ac:dyDescent="0.25">
      <c r="A153" s="38" t="s">
        <v>327</v>
      </c>
      <c r="B153" s="90">
        <v>1</v>
      </c>
      <c r="C153" s="33">
        <f>ROUND(($E$2*$F$2*$G$2*Средн!$D$22*B153)/100,2)</f>
        <v>0</v>
      </c>
      <c r="D153" s="90">
        <v>1</v>
      </c>
      <c r="E153" s="90">
        <v>1</v>
      </c>
      <c r="F153" s="90">
        <v>1</v>
      </c>
      <c r="G153" s="90">
        <v>1</v>
      </c>
      <c r="H153" s="90">
        <v>1</v>
      </c>
      <c r="I153" s="91">
        <v>1</v>
      </c>
    </row>
    <row r="154" spans="1:9" x14ac:dyDescent="0.25">
      <c r="A154" s="38" t="s">
        <v>253</v>
      </c>
      <c r="B154" s="90">
        <v>2.1</v>
      </c>
      <c r="C154" s="33">
        <f>ROUND(($E$2*$F$2*$G$2*Средн!$D$22*B154)/100,2)</f>
        <v>0</v>
      </c>
      <c r="D154" s="90">
        <v>2.1</v>
      </c>
      <c r="E154" s="90">
        <v>2.1</v>
      </c>
      <c r="F154" s="90">
        <v>2.1</v>
      </c>
      <c r="G154" s="90">
        <v>2.1</v>
      </c>
      <c r="H154" s="90">
        <v>2.1</v>
      </c>
      <c r="I154" s="91">
        <v>2.1</v>
      </c>
    </row>
    <row r="155" spans="1:9" x14ac:dyDescent="0.25">
      <c r="A155" s="38" t="s">
        <v>254</v>
      </c>
      <c r="B155" s="90">
        <v>1.6</v>
      </c>
      <c r="C155" s="33">
        <f>ROUND(($E$2*$F$2*$G$2*Средн!$D$22*B155)/100,2)</f>
        <v>0</v>
      </c>
      <c r="D155" s="90">
        <v>1.6</v>
      </c>
      <c r="E155" s="90">
        <v>1.6</v>
      </c>
      <c r="F155" s="90">
        <v>1.6</v>
      </c>
      <c r="G155" s="90">
        <v>1.6</v>
      </c>
      <c r="H155" s="90">
        <v>1.6</v>
      </c>
      <c r="I155" s="91">
        <v>1.6</v>
      </c>
    </row>
    <row r="156" spans="1:9" x14ac:dyDescent="0.25">
      <c r="A156" s="38" t="s">
        <v>328</v>
      </c>
      <c r="B156" s="90">
        <v>3</v>
      </c>
      <c r="C156" s="33">
        <f>ROUND(($E$2*$F$2*$G$2*Средн!$D$22*B156)/100,2)</f>
        <v>0</v>
      </c>
      <c r="D156" s="90">
        <v>3</v>
      </c>
      <c r="E156" s="90">
        <v>3</v>
      </c>
      <c r="F156" s="90">
        <v>3</v>
      </c>
      <c r="G156" s="90">
        <v>3</v>
      </c>
      <c r="H156" s="90">
        <v>2</v>
      </c>
      <c r="I156" s="91">
        <v>3</v>
      </c>
    </row>
    <row r="157" spans="1:9" x14ac:dyDescent="0.25">
      <c r="A157" s="38" t="s">
        <v>329</v>
      </c>
      <c r="B157" s="90">
        <v>10</v>
      </c>
      <c r="C157" s="33">
        <f>ROUND(($E$2*$F$2*$G$2*Средн!$D$22*B157)/100,2)</f>
        <v>0</v>
      </c>
      <c r="D157" s="90">
        <v>10</v>
      </c>
      <c r="E157" s="90">
        <v>9</v>
      </c>
      <c r="F157" s="90">
        <v>8</v>
      </c>
      <c r="G157" s="90">
        <v>8</v>
      </c>
      <c r="H157" s="90">
        <v>7</v>
      </c>
      <c r="I157" s="91">
        <v>9</v>
      </c>
    </row>
    <row r="158" spans="1:9" x14ac:dyDescent="0.25">
      <c r="A158" s="38" t="s">
        <v>330</v>
      </c>
      <c r="B158" s="90">
        <v>15</v>
      </c>
      <c r="C158" s="33">
        <f>ROUND(($E$2*$F$2*$G$2*Средн!$D$22*B158)/100,2)</f>
        <v>0</v>
      </c>
      <c r="D158" s="90">
        <v>15</v>
      </c>
      <c r="E158" s="90">
        <v>14</v>
      </c>
      <c r="F158" s="90">
        <v>13</v>
      </c>
      <c r="G158" s="90">
        <v>12</v>
      </c>
      <c r="H158" s="90">
        <v>11</v>
      </c>
      <c r="I158" s="91">
        <v>14</v>
      </c>
    </row>
    <row r="159" spans="1:9" x14ac:dyDescent="0.25">
      <c r="A159" s="38" t="s">
        <v>264</v>
      </c>
      <c r="B159" s="90">
        <v>3</v>
      </c>
      <c r="C159" s="33">
        <f>ROUND(($E$2*$F$2*$G$2*Средн!$D$22*B159)/100,2)</f>
        <v>0</v>
      </c>
      <c r="D159" s="90">
        <v>3</v>
      </c>
      <c r="E159" s="90">
        <v>3</v>
      </c>
      <c r="F159" s="90">
        <v>3</v>
      </c>
      <c r="G159" s="90">
        <v>3</v>
      </c>
      <c r="H159" s="90">
        <v>3</v>
      </c>
      <c r="I159" s="91">
        <v>3</v>
      </c>
    </row>
    <row r="160" spans="1:9" x14ac:dyDescent="0.25">
      <c r="A160" s="38" t="s">
        <v>265</v>
      </c>
      <c r="B160" s="90">
        <v>0.5</v>
      </c>
      <c r="C160" s="33">
        <f>ROUND(($E$2*$F$2*$G$2*Средн!$D$22*B160)/100,2)</f>
        <v>0</v>
      </c>
      <c r="D160" s="90">
        <v>0.5</v>
      </c>
      <c r="E160" s="90">
        <v>0.5</v>
      </c>
      <c r="F160" s="90">
        <v>0.5</v>
      </c>
      <c r="G160" s="90">
        <v>0.5</v>
      </c>
      <c r="H160" s="90">
        <v>0.5</v>
      </c>
      <c r="I160" s="91">
        <v>0.5</v>
      </c>
    </row>
    <row r="161" spans="1:9" x14ac:dyDescent="0.25">
      <c r="A161" s="38" t="s">
        <v>266</v>
      </c>
      <c r="B161" s="90">
        <v>1</v>
      </c>
      <c r="C161" s="33">
        <f>ROUND(($E$2*$F$2*$G$2*Средн!$D$22*B161)/100,2)</f>
        <v>0</v>
      </c>
      <c r="D161" s="90">
        <v>1</v>
      </c>
      <c r="E161" s="90">
        <v>1</v>
      </c>
      <c r="F161" s="90">
        <v>1</v>
      </c>
      <c r="G161" s="90">
        <v>1</v>
      </c>
      <c r="H161" s="90">
        <v>1</v>
      </c>
      <c r="I161" s="91">
        <v>1</v>
      </c>
    </row>
    <row r="162" spans="1:9" x14ac:dyDescent="0.25">
      <c r="A162" s="38" t="s">
        <v>119</v>
      </c>
      <c r="B162" s="90">
        <v>1.2</v>
      </c>
      <c r="C162" s="33">
        <f>ROUND(($E$2*$F$2*$G$2*Средн!$D$22*B162)/100,2)</f>
        <v>0</v>
      </c>
      <c r="D162" s="90">
        <v>1.2</v>
      </c>
      <c r="E162" s="90">
        <v>1.2</v>
      </c>
      <c r="F162" s="90">
        <v>1.2</v>
      </c>
      <c r="G162" s="90">
        <v>1.2</v>
      </c>
      <c r="H162" s="90">
        <v>1.2</v>
      </c>
      <c r="I162" s="91">
        <v>1.2</v>
      </c>
    </row>
    <row r="163" spans="1:9" x14ac:dyDescent="0.25">
      <c r="A163" s="38" t="s">
        <v>267</v>
      </c>
      <c r="B163" s="90">
        <v>0.3</v>
      </c>
      <c r="C163" s="33">
        <f>ROUND(($E$2*$F$2*$G$2*Средн!$D$22*B163)/100,2)</f>
        <v>0</v>
      </c>
      <c r="D163" s="90">
        <v>0.3</v>
      </c>
      <c r="E163" s="90">
        <v>0.3</v>
      </c>
      <c r="F163" s="90">
        <v>0.3</v>
      </c>
      <c r="G163" s="90">
        <v>0.3</v>
      </c>
      <c r="H163" s="90">
        <v>0.3</v>
      </c>
      <c r="I163" s="91">
        <v>0.3</v>
      </c>
    </row>
    <row r="164" spans="1:9" x14ac:dyDescent="0.25">
      <c r="A164" s="38" t="s">
        <v>331</v>
      </c>
      <c r="B164" s="90">
        <v>0.1</v>
      </c>
      <c r="C164" s="33">
        <f>ROUND(($E$2*$F$2*$G$2*Средн!$D$22*B164)/100,2)</f>
        <v>0</v>
      </c>
      <c r="D164" s="90">
        <v>0.1</v>
      </c>
      <c r="E164" s="90">
        <v>0.1</v>
      </c>
      <c r="F164" s="90">
        <v>0.1</v>
      </c>
      <c r="G164" s="90">
        <v>0.1</v>
      </c>
      <c r="H164" s="90">
        <v>0.1</v>
      </c>
      <c r="I164" s="91">
        <v>0.1</v>
      </c>
    </row>
    <row r="165" spans="1:9" x14ac:dyDescent="0.25">
      <c r="A165" s="38" t="s">
        <v>269</v>
      </c>
      <c r="B165" s="90">
        <v>3</v>
      </c>
      <c r="C165" s="33">
        <f>ROUND(($E$2*$F$2*$G$2*Средн!$D$22*B165)/100,2)</f>
        <v>0</v>
      </c>
      <c r="D165" s="90">
        <v>3</v>
      </c>
      <c r="E165" s="90">
        <v>3</v>
      </c>
      <c r="F165" s="90">
        <v>3</v>
      </c>
      <c r="G165" s="90">
        <v>3</v>
      </c>
      <c r="H165" s="90">
        <v>2</v>
      </c>
      <c r="I165" s="91">
        <v>3</v>
      </c>
    </row>
    <row r="166" spans="1:9" x14ac:dyDescent="0.25">
      <c r="A166" s="38" t="s">
        <v>332</v>
      </c>
      <c r="B166" s="90">
        <v>5</v>
      </c>
      <c r="C166" s="33">
        <f>ROUND(($E$2*$F$2*$G$2*Средн!$D$22*B166)/100,2)</f>
        <v>0</v>
      </c>
      <c r="D166" s="90">
        <v>5</v>
      </c>
      <c r="E166" s="90">
        <v>9</v>
      </c>
      <c r="F166" s="90">
        <v>14</v>
      </c>
      <c r="G166" s="90">
        <v>16</v>
      </c>
      <c r="H166" s="90">
        <v>24</v>
      </c>
      <c r="I166" s="91">
        <v>3</v>
      </c>
    </row>
    <row r="167" spans="1:9" x14ac:dyDescent="0.25">
      <c r="A167" s="38" t="s">
        <v>120</v>
      </c>
      <c r="B167" s="90">
        <v>3</v>
      </c>
      <c r="C167" s="33">
        <f>ROUND(($E$2*$F$2*$G$2*Средн!$D$22*B167)/100,2)</f>
        <v>0</v>
      </c>
      <c r="D167" s="91" t="s">
        <v>333</v>
      </c>
      <c r="E167" s="91" t="s">
        <v>333</v>
      </c>
      <c r="F167" s="91" t="s">
        <v>333</v>
      </c>
      <c r="G167" s="91" t="s">
        <v>333</v>
      </c>
      <c r="H167" s="91" t="s">
        <v>333</v>
      </c>
      <c r="I167" s="91" t="s">
        <v>333</v>
      </c>
    </row>
    <row r="168" spans="1:9" x14ac:dyDescent="0.25">
      <c r="A168" s="32" t="s">
        <v>334</v>
      </c>
      <c r="B168" s="74">
        <f t="shared" ref="B168:C168" si="0">SUM(B116:B167)</f>
        <v>172.70000000000002</v>
      </c>
      <c r="C168" s="74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7"/>
  <sheetViews>
    <sheetView workbookViewId="0">
      <selection activeCell="L2" sqref="L2"/>
    </sheetView>
  </sheetViews>
  <sheetFormatPr defaultColWidth="8.7109375" defaultRowHeight="15" x14ac:dyDescent="0.25"/>
  <cols>
    <col min="1" max="1" width="26.7109375" style="37" customWidth="1"/>
    <col min="2" max="2" width="15.7109375" style="37" customWidth="1"/>
    <col min="3" max="3" width="16.7109375" style="37" customWidth="1"/>
    <col min="4" max="4" width="12.7109375" style="37" customWidth="1"/>
    <col min="5" max="5" width="13" style="37" customWidth="1"/>
    <col min="6" max="6" width="11.28515625" style="37" customWidth="1"/>
    <col min="7" max="7" width="10.28515625" style="37" bestFit="1" customWidth="1"/>
    <col min="8" max="16384" width="8.7109375" style="37"/>
  </cols>
  <sheetData>
    <row r="1" spans="1:6" ht="15.75" x14ac:dyDescent="0.25">
      <c r="A1" s="187" t="s">
        <v>80</v>
      </c>
      <c r="B1" s="187"/>
      <c r="C1" s="187"/>
      <c r="D1" s="187"/>
      <c r="E1" s="187"/>
      <c r="F1" s="187"/>
    </row>
    <row r="2" spans="1:6" ht="31.5" x14ac:dyDescent="0.25">
      <c r="A2" s="39" t="s">
        <v>81</v>
      </c>
      <c r="B2" s="40" t="s">
        <v>82</v>
      </c>
      <c r="C2" s="40" t="s">
        <v>83</v>
      </c>
      <c r="D2" s="40" t="s">
        <v>84</v>
      </c>
      <c r="E2" s="40" t="s">
        <v>85</v>
      </c>
      <c r="F2" s="40" t="s">
        <v>86</v>
      </c>
    </row>
    <row r="3" spans="1:6" ht="15.75" x14ac:dyDescent="0.25">
      <c r="A3" s="41" t="s">
        <v>87</v>
      </c>
      <c r="B3" s="42">
        <v>43797</v>
      </c>
      <c r="C3" s="42">
        <v>43797</v>
      </c>
      <c r="D3" s="42">
        <v>43797</v>
      </c>
      <c r="E3" s="42">
        <v>43797</v>
      </c>
      <c r="F3" s="42">
        <v>43797</v>
      </c>
    </row>
    <row r="4" spans="1:6" ht="31.5" x14ac:dyDescent="0.25">
      <c r="A4" s="41" t="s">
        <v>88</v>
      </c>
      <c r="B4" s="43"/>
      <c r="C4" s="43" t="s">
        <v>89</v>
      </c>
      <c r="D4" s="43" t="s">
        <v>90</v>
      </c>
      <c r="E4" s="43" t="s">
        <v>91</v>
      </c>
      <c r="F4" s="43" t="s">
        <v>92</v>
      </c>
    </row>
    <row r="5" spans="1:6" ht="47.25" x14ac:dyDescent="0.25">
      <c r="A5" s="41" t="s">
        <v>93</v>
      </c>
      <c r="B5" s="44" t="s">
        <v>94</v>
      </c>
      <c r="C5" s="44" t="s">
        <v>95</v>
      </c>
      <c r="D5" s="44" t="s">
        <v>95</v>
      </c>
      <c r="E5" s="44" t="s">
        <v>95</v>
      </c>
      <c r="F5" s="44" t="s">
        <v>96</v>
      </c>
    </row>
    <row r="6" spans="1:6" ht="110.25" x14ac:dyDescent="0.25">
      <c r="A6" s="41" t="s">
        <v>97</v>
      </c>
      <c r="B6" s="44" t="s">
        <v>98</v>
      </c>
      <c r="C6" s="44" t="s">
        <v>99</v>
      </c>
      <c r="D6" s="44" t="s">
        <v>100</v>
      </c>
      <c r="E6" s="44" t="s">
        <v>101</v>
      </c>
      <c r="F6" s="44" t="s">
        <v>102</v>
      </c>
    </row>
    <row r="7" spans="1:6" ht="15.75" x14ac:dyDescent="0.25">
      <c r="A7" s="41" t="s">
        <v>103</v>
      </c>
      <c r="B7" s="44">
        <v>2014</v>
      </c>
      <c r="C7" s="44">
        <v>2014</v>
      </c>
      <c r="D7" s="44">
        <v>2014</v>
      </c>
      <c r="E7" s="44">
        <v>2014</v>
      </c>
      <c r="F7" s="44">
        <v>2013</v>
      </c>
    </row>
    <row r="8" spans="1:6" ht="15.75" x14ac:dyDescent="0.25">
      <c r="A8" s="188" t="s">
        <v>104</v>
      </c>
      <c r="B8" s="188"/>
      <c r="C8" s="45">
        <v>412115</v>
      </c>
      <c r="D8" s="45">
        <v>502920</v>
      </c>
      <c r="E8" s="45">
        <v>523875</v>
      </c>
      <c r="F8" s="45">
        <v>447040</v>
      </c>
    </row>
    <row r="9" spans="1:6" ht="15.75" x14ac:dyDescent="0.25">
      <c r="A9" s="189" t="s">
        <v>105</v>
      </c>
      <c r="B9" s="189"/>
      <c r="C9" s="46" t="s">
        <v>83</v>
      </c>
      <c r="D9" s="46" t="s">
        <v>84</v>
      </c>
      <c r="E9" s="46" t="s">
        <v>85</v>
      </c>
      <c r="F9" s="46" t="s">
        <v>86</v>
      </c>
    </row>
    <row r="10" spans="1:6" ht="15.75" x14ac:dyDescent="0.25">
      <c r="A10" s="186" t="s">
        <v>106</v>
      </c>
      <c r="B10" s="186"/>
      <c r="C10" s="47">
        <v>0.95</v>
      </c>
      <c r="D10" s="47">
        <v>0.95</v>
      </c>
      <c r="E10" s="47">
        <v>0.95</v>
      </c>
      <c r="F10" s="47">
        <v>0.97</v>
      </c>
    </row>
    <row r="11" spans="1:6" ht="15.75" x14ac:dyDescent="0.25">
      <c r="A11" s="190" t="s">
        <v>107</v>
      </c>
      <c r="B11" s="190"/>
      <c r="C11" s="48">
        <f>ROUND(C8*C10,0)</f>
        <v>391509</v>
      </c>
      <c r="D11" s="48">
        <f>ROUND(D8*D10,0)</f>
        <v>477774</v>
      </c>
      <c r="E11" s="48">
        <f>ROUND(E8*E10,0)</f>
        <v>497681</v>
      </c>
      <c r="F11" s="48">
        <f>ROUND(F8*F10,0)</f>
        <v>433629</v>
      </c>
    </row>
    <row r="12" spans="1:6" ht="15.75" x14ac:dyDescent="0.25">
      <c r="A12" s="186" t="s">
        <v>108</v>
      </c>
      <c r="B12" s="186"/>
      <c r="C12" s="47">
        <v>1.08</v>
      </c>
      <c r="D12" s="47">
        <v>1.08</v>
      </c>
      <c r="E12" s="47">
        <v>1.05</v>
      </c>
      <c r="F12" s="47">
        <v>1.08</v>
      </c>
    </row>
    <row r="13" spans="1:6" ht="15.75" x14ac:dyDescent="0.25">
      <c r="A13" s="190" t="s">
        <v>107</v>
      </c>
      <c r="B13" s="190"/>
      <c r="C13" s="48">
        <f>ROUND(C11*C12,0)</f>
        <v>422830</v>
      </c>
      <c r="D13" s="48">
        <f t="shared" ref="D13:F13" si="0">ROUND(D11*D12,0)</f>
        <v>515996</v>
      </c>
      <c r="E13" s="48">
        <f t="shared" si="0"/>
        <v>522565</v>
      </c>
      <c r="F13" s="48">
        <f t="shared" si="0"/>
        <v>468319</v>
      </c>
    </row>
    <row r="14" spans="1:6" ht="15.75" x14ac:dyDescent="0.25">
      <c r="A14" s="186" t="s">
        <v>109</v>
      </c>
      <c r="B14" s="186"/>
      <c r="C14" s="47">
        <v>0.98</v>
      </c>
      <c r="D14" s="47">
        <v>0.98</v>
      </c>
      <c r="E14" s="47">
        <v>0.98</v>
      </c>
      <c r="F14" s="47">
        <v>0.98</v>
      </c>
    </row>
    <row r="15" spans="1:6" ht="15.75" x14ac:dyDescent="0.25">
      <c r="A15" s="190" t="s">
        <v>107</v>
      </c>
      <c r="B15" s="190"/>
      <c r="C15" s="48">
        <f>ROUND(C13*C14,0)</f>
        <v>414373</v>
      </c>
      <c r="D15" s="48">
        <f t="shared" ref="D15:F15" si="1">ROUND(D13*D14,0)</f>
        <v>505676</v>
      </c>
      <c r="E15" s="48">
        <f t="shared" si="1"/>
        <v>512114</v>
      </c>
      <c r="F15" s="48">
        <f t="shared" si="1"/>
        <v>458953</v>
      </c>
    </row>
    <row r="16" spans="1:6" ht="15.75" x14ac:dyDescent="0.25">
      <c r="A16" s="186" t="s">
        <v>110</v>
      </c>
      <c r="B16" s="186"/>
      <c r="C16" s="47">
        <v>0.98</v>
      </c>
      <c r="D16" s="47">
        <v>0.98</v>
      </c>
      <c r="E16" s="47">
        <v>0.98</v>
      </c>
      <c r="F16" s="47">
        <v>0.98</v>
      </c>
    </row>
    <row r="17" spans="1:6" ht="15.75" x14ac:dyDescent="0.25">
      <c r="A17" s="190" t="s">
        <v>107</v>
      </c>
      <c r="B17" s="190"/>
      <c r="C17" s="48">
        <f>ROUND(C15*C16,0)</f>
        <v>406086</v>
      </c>
      <c r="D17" s="48">
        <f t="shared" ref="D17:F17" si="2">ROUND(D15*D16,0)</f>
        <v>495562</v>
      </c>
      <c r="E17" s="48">
        <f t="shared" si="2"/>
        <v>501872</v>
      </c>
      <c r="F17" s="48">
        <f t="shared" si="2"/>
        <v>449774</v>
      </c>
    </row>
    <row r="18" spans="1:6" ht="15.75" x14ac:dyDescent="0.25">
      <c r="A18" s="186" t="s">
        <v>111</v>
      </c>
      <c r="B18" s="186"/>
      <c r="C18" s="47">
        <v>0.97</v>
      </c>
      <c r="D18" s="47">
        <v>0.97</v>
      </c>
      <c r="E18" s="47">
        <v>0.97</v>
      </c>
      <c r="F18" s="47">
        <v>0.97</v>
      </c>
    </row>
    <row r="19" spans="1:6" ht="15.75" x14ac:dyDescent="0.25">
      <c r="A19" s="190" t="s">
        <v>107</v>
      </c>
      <c r="B19" s="190"/>
      <c r="C19" s="48">
        <f>ROUND(C17*C18,0)</f>
        <v>393903</v>
      </c>
      <c r="D19" s="48">
        <f t="shared" ref="D19:F19" si="3">ROUND(D17*D18,0)</f>
        <v>480695</v>
      </c>
      <c r="E19" s="48">
        <f t="shared" si="3"/>
        <v>486816</v>
      </c>
      <c r="F19" s="48">
        <f t="shared" si="3"/>
        <v>436281</v>
      </c>
    </row>
    <row r="20" spans="1:6" ht="15.75" x14ac:dyDescent="0.25">
      <c r="A20" s="186" t="s">
        <v>112</v>
      </c>
      <c r="B20" s="186"/>
      <c r="C20" s="47">
        <v>0.95</v>
      </c>
      <c r="D20" s="47">
        <v>0.95</v>
      </c>
      <c r="E20" s="47">
        <v>0.95</v>
      </c>
      <c r="F20" s="47">
        <v>0.95</v>
      </c>
    </row>
    <row r="21" spans="1:6" ht="15.75" x14ac:dyDescent="0.25">
      <c r="A21" s="190" t="s">
        <v>107</v>
      </c>
      <c r="B21" s="190"/>
      <c r="C21" s="48">
        <f>ROUND(C19*C20,0)</f>
        <v>374208</v>
      </c>
      <c r="D21" s="48">
        <f t="shared" ref="D21:F21" si="4">ROUND(D19*D20,0)</f>
        <v>456660</v>
      </c>
      <c r="E21" s="48">
        <f t="shared" si="4"/>
        <v>462475</v>
      </c>
      <c r="F21" s="48">
        <f t="shared" si="4"/>
        <v>414467</v>
      </c>
    </row>
    <row r="22" spans="1:6" ht="15.75" x14ac:dyDescent="0.25">
      <c r="A22" s="186" t="s">
        <v>113</v>
      </c>
      <c r="B22" s="186"/>
      <c r="C22" s="47">
        <v>1.08</v>
      </c>
      <c r="D22" s="47">
        <v>0.92</v>
      </c>
      <c r="E22" s="47">
        <v>0.9</v>
      </c>
      <c r="F22" s="47">
        <v>0.98</v>
      </c>
    </row>
    <row r="23" spans="1:6" ht="15.75" x14ac:dyDescent="0.25">
      <c r="A23" s="190" t="s">
        <v>107</v>
      </c>
      <c r="B23" s="190"/>
      <c r="C23" s="48">
        <f>ROUND(C21*C22,0)</f>
        <v>404145</v>
      </c>
      <c r="D23" s="48">
        <f t="shared" ref="D23:F23" si="5">ROUND(D21*D22,0)</f>
        <v>420127</v>
      </c>
      <c r="E23" s="48">
        <f t="shared" si="5"/>
        <v>416228</v>
      </c>
      <c r="F23" s="48">
        <f t="shared" si="5"/>
        <v>406178</v>
      </c>
    </row>
    <row r="24" spans="1:6" ht="15.75" x14ac:dyDescent="0.25">
      <c r="A24" s="195" t="s">
        <v>114</v>
      </c>
      <c r="B24" s="196"/>
      <c r="C24" s="47">
        <v>1</v>
      </c>
      <c r="D24" s="47">
        <v>1</v>
      </c>
      <c r="E24" s="47">
        <v>1</v>
      </c>
      <c r="F24" s="47">
        <v>1</v>
      </c>
    </row>
    <row r="25" spans="1:6" ht="15.75" x14ac:dyDescent="0.25">
      <c r="A25" s="191" t="s">
        <v>107</v>
      </c>
      <c r="B25" s="192"/>
      <c r="C25" s="48">
        <f>ROUND(C23*C24,0)</f>
        <v>404145</v>
      </c>
      <c r="D25" s="48">
        <f t="shared" ref="D25:F25" si="6">ROUND(D23*D24,0)</f>
        <v>420127</v>
      </c>
      <c r="E25" s="48">
        <f t="shared" si="6"/>
        <v>416228</v>
      </c>
      <c r="F25" s="48">
        <f t="shared" si="6"/>
        <v>406178</v>
      </c>
    </row>
    <row r="26" spans="1:6" ht="15.75" x14ac:dyDescent="0.25">
      <c r="A26" s="193" t="s">
        <v>115</v>
      </c>
      <c r="B26" s="193"/>
      <c r="C26" s="194">
        <f>ROUND(AVERAGE(C25:F25),-2)</f>
        <v>411700</v>
      </c>
      <c r="D26" s="194"/>
      <c r="E26" s="194"/>
      <c r="F26" s="194"/>
    </row>
    <row r="27" spans="1:6" ht="15.75" x14ac:dyDescent="0.25">
      <c r="A27" s="49"/>
      <c r="B27" s="49"/>
      <c r="C27" s="49"/>
      <c r="D27" s="49"/>
      <c r="E27" s="49"/>
      <c r="F27" s="49"/>
    </row>
  </sheetData>
  <mergeCells count="21">
    <mergeCell ref="A25:B25"/>
    <mergeCell ref="A26:B26"/>
    <mergeCell ref="C26:F26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A1:F1"/>
    <mergeCell ref="A8:B8"/>
    <mergeCell ref="A9:B9"/>
    <mergeCell ref="A10:B10"/>
    <mergeCell ref="A11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2020-03-18T12:02:10Z</dcterms:modified>
</cp:coreProperties>
</file>