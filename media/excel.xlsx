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 filterPrivacy="1"/>
  <xr:revisionPtr revIDLastSave="0" documentId="13_ncr:1_{3A944A3F-0C54-4FA2-9E9A-A402D5A824AF}" xr6:coauthVersionLast="45" xr6:coauthVersionMax="45" xr10:uidLastSave="{00000000-0000-0000-0000-000000000000}"/>
  <bookViews>
    <workbookView xWindow="-110" yWindow="-110" windowWidth="19420" windowHeight="12420" xr2:uid="{00000000-000D-0000-FFFF-FFFF00000000}"/>
  </bookViews>
  <sheets>
    <sheet name="Дано" sheetId="5" r:id="rId1"/>
    <sheet name="счёт" sheetId="1" r:id="rId2"/>
    <sheet name="факт" sheetId="2" r:id="rId3"/>
    <sheet name="прих" sheetId="3" r:id="rId4"/>
    <sheet name="акт" sheetId="6" r:id="rId5"/>
    <sheet name="Ущерб" sheetId="7" r:id="rId6"/>
    <sheet name="Средн" sheetId="13" r:id="rId7"/>
    <sheet name="УТС" sheetId="10" r:id="rId8"/>
    <sheet name="Утиль" sheetId="11" r:id="rId9"/>
    <sheet name="Рынок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" i="13" l="1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" i="13"/>
  <c r="C23" i="1"/>
  <c r="A2" i="6"/>
  <c r="A9" i="6"/>
  <c r="B6" i="6"/>
  <c r="D9" i="6"/>
  <c r="D10" i="6" s="1"/>
  <c r="A12" i="6" s="1"/>
  <c r="C9" i="6"/>
  <c r="B9" i="6"/>
  <c r="C9" i="1" l="1"/>
  <c r="B3" i="5" l="1"/>
  <c r="D10" i="12" l="1"/>
  <c r="D12" i="12" s="1"/>
  <c r="D14" i="12" s="1"/>
  <c r="D16" i="12" s="1"/>
  <c r="D18" i="12" s="1"/>
  <c r="D20" i="12" s="1"/>
  <c r="E10" i="12"/>
  <c r="E12" i="12" s="1"/>
  <c r="E14" i="12" s="1"/>
  <c r="E16" i="12" s="1"/>
  <c r="E18" i="12" s="1"/>
  <c r="E20" i="12" s="1"/>
  <c r="F10" i="12"/>
  <c r="F12" i="12" s="1"/>
  <c r="F14" i="12" s="1"/>
  <c r="F16" i="12" s="1"/>
  <c r="F18" i="12" s="1"/>
  <c r="F20" i="12" s="1"/>
  <c r="C10" i="12"/>
  <c r="C12" i="12" s="1"/>
  <c r="C14" i="12" s="1"/>
  <c r="C16" i="12" s="1"/>
  <c r="C18" i="12" s="1"/>
  <c r="C20" i="12" s="1"/>
  <c r="B5" i="12"/>
  <c r="D5" i="12" s="1"/>
  <c r="B4" i="12"/>
  <c r="E4" i="12" s="1"/>
  <c r="C5" i="12" l="1"/>
  <c r="E5" i="12"/>
  <c r="F4" i="12"/>
  <c r="D4" i="12"/>
  <c r="C4" i="12"/>
  <c r="F5" i="12"/>
  <c r="C21" i="12"/>
  <c r="B11" i="3" l="1"/>
  <c r="L23" i="3" s="1"/>
  <c r="G52" i="2" l="1"/>
  <c r="G52" i="1"/>
  <c r="C22" i="13" l="1"/>
  <c r="D22" i="13" l="1"/>
  <c r="E3" i="10" s="1"/>
  <c r="B168" i="11"/>
  <c r="B108" i="11"/>
  <c r="E12" i="10" l="1"/>
  <c r="E20" i="10"/>
  <c r="E21" i="10"/>
  <c r="E4" i="10"/>
  <c r="E13" i="10"/>
  <c r="E24" i="10"/>
  <c r="E16" i="10"/>
  <c r="E8" i="10"/>
  <c r="E25" i="10"/>
  <c r="E17" i="10"/>
  <c r="E9" i="10"/>
  <c r="E5" i="10"/>
  <c r="E26" i="10"/>
  <c r="E22" i="10"/>
  <c r="E18" i="10"/>
  <c r="E14" i="10"/>
  <c r="E10" i="10"/>
  <c r="E6" i="10"/>
  <c r="E2" i="10"/>
  <c r="E23" i="10"/>
  <c r="E19" i="10"/>
  <c r="E15" i="10"/>
  <c r="E11" i="10"/>
  <c r="E7" i="10"/>
  <c r="B23" i="11"/>
  <c r="E27" i="10" l="1"/>
  <c r="B29" i="5"/>
  <c r="D27" i="10" l="1"/>
  <c r="A1" i="2"/>
  <c r="C19" i="11" l="1"/>
  <c r="C4" i="11"/>
  <c r="C14" i="11"/>
  <c r="C3" i="11"/>
  <c r="C117" i="11"/>
  <c r="C119" i="11"/>
  <c r="C121" i="11"/>
  <c r="C123" i="11"/>
  <c r="C125" i="11"/>
  <c r="C127" i="11"/>
  <c r="C129" i="11"/>
  <c r="C131" i="11"/>
  <c r="C133" i="11"/>
  <c r="C135" i="11"/>
  <c r="C137" i="11"/>
  <c r="C139" i="11"/>
  <c r="C141" i="11"/>
  <c r="C143" i="11"/>
  <c r="C145" i="11"/>
  <c r="C147" i="11"/>
  <c r="C149" i="11"/>
  <c r="C151" i="11"/>
  <c r="C153" i="11"/>
  <c r="C155" i="11"/>
  <c r="C157" i="11"/>
  <c r="C159" i="11"/>
  <c r="C161" i="11"/>
  <c r="C163" i="11"/>
  <c r="C165" i="11"/>
  <c r="C167" i="11"/>
  <c r="C29" i="11"/>
  <c r="C31" i="11"/>
  <c r="C33" i="11"/>
  <c r="C35" i="11"/>
  <c r="C37" i="11"/>
  <c r="C39" i="11"/>
  <c r="C41" i="11"/>
  <c r="C43" i="11"/>
  <c r="C45" i="11"/>
  <c r="C47" i="11"/>
  <c r="C49" i="11"/>
  <c r="C51" i="11"/>
  <c r="C53" i="11"/>
  <c r="C55" i="11"/>
  <c r="C57" i="11"/>
  <c r="C59" i="11"/>
  <c r="C61" i="11"/>
  <c r="C63" i="11"/>
  <c r="C65" i="11"/>
  <c r="C67" i="11"/>
  <c r="C69" i="11"/>
  <c r="C71" i="11"/>
  <c r="C73" i="11"/>
  <c r="C75" i="11"/>
  <c r="C77" i="11"/>
  <c r="C79" i="11"/>
  <c r="C81" i="11"/>
  <c r="C83" i="11"/>
  <c r="C85" i="11"/>
  <c r="C87" i="11"/>
  <c r="C89" i="11"/>
  <c r="C91" i="11"/>
  <c r="C93" i="11"/>
  <c r="C95" i="11"/>
  <c r="C97" i="11"/>
  <c r="C99" i="11"/>
  <c r="C101" i="11"/>
  <c r="C103" i="11"/>
  <c r="C105" i="11"/>
  <c r="C107" i="11"/>
  <c r="C118" i="11"/>
  <c r="C120" i="11"/>
  <c r="C122" i="11"/>
  <c r="C124" i="11"/>
  <c r="C126" i="11"/>
  <c r="C128" i="11"/>
  <c r="C130" i="11"/>
  <c r="C132" i="11"/>
  <c r="C134" i="11"/>
  <c r="C136" i="11"/>
  <c r="C138" i="11"/>
  <c r="C140" i="11"/>
  <c r="C142" i="11"/>
  <c r="C144" i="11"/>
  <c r="C146" i="11"/>
  <c r="C148" i="11"/>
  <c r="C150" i="11"/>
  <c r="C152" i="11"/>
  <c r="C154" i="11"/>
  <c r="C158" i="11"/>
  <c r="C162" i="11"/>
  <c r="C166" i="11"/>
  <c r="C30" i="11"/>
  <c r="C34" i="11"/>
  <c r="C38" i="11"/>
  <c r="C42" i="11"/>
  <c r="C46" i="11"/>
  <c r="C50" i="11"/>
  <c r="C54" i="11"/>
  <c r="C58" i="11"/>
  <c r="C62" i="11"/>
  <c r="C66" i="11"/>
  <c r="C70" i="11"/>
  <c r="C74" i="11"/>
  <c r="C78" i="11"/>
  <c r="C82" i="11"/>
  <c r="C86" i="11"/>
  <c r="C90" i="11"/>
  <c r="C94" i="11"/>
  <c r="C98" i="11"/>
  <c r="C102" i="11"/>
  <c r="C106" i="11"/>
  <c r="C156" i="11"/>
  <c r="C160" i="11"/>
  <c r="C164" i="11"/>
  <c r="C116" i="11"/>
  <c r="C28" i="11"/>
  <c r="C32" i="11"/>
  <c r="C36" i="11"/>
  <c r="C40" i="11"/>
  <c r="C44" i="11"/>
  <c r="C48" i="11"/>
  <c r="C52" i="11"/>
  <c r="C56" i="11"/>
  <c r="C60" i="11"/>
  <c r="C64" i="11"/>
  <c r="C68" i="11"/>
  <c r="C72" i="11"/>
  <c r="C76" i="11"/>
  <c r="C80" i="11"/>
  <c r="C84" i="11"/>
  <c r="C88" i="11"/>
  <c r="C92" i="11"/>
  <c r="C96" i="11"/>
  <c r="C100" i="11"/>
  <c r="C104" i="11"/>
  <c r="C27" i="11"/>
  <c r="C6" i="11"/>
  <c r="C8" i="11"/>
  <c r="C10" i="11"/>
  <c r="C12" i="11"/>
  <c r="C15" i="11"/>
  <c r="C17" i="11"/>
  <c r="C20" i="11"/>
  <c r="C22" i="11"/>
  <c r="C5" i="11"/>
  <c r="C7" i="11"/>
  <c r="C9" i="11"/>
  <c r="C11" i="11"/>
  <c r="C13" i="11"/>
  <c r="C16" i="11"/>
  <c r="C18" i="11"/>
  <c r="C21" i="11"/>
  <c r="J2" i="7"/>
  <c r="K2" i="7"/>
  <c r="L2" i="7" s="1"/>
  <c r="C168" i="11" l="1"/>
  <c r="C108" i="11"/>
  <c r="C23" i="11"/>
  <c r="I15" i="1" l="1"/>
  <c r="H4" i="1"/>
  <c r="D4" i="1" s="1"/>
  <c r="C15" i="1"/>
  <c r="C7" i="1"/>
  <c r="A1" i="6" l="1"/>
  <c r="D4" i="2"/>
  <c r="A11" i="3" s="1"/>
  <c r="N6" i="3" s="1"/>
  <c r="C23" i="2" l="1"/>
  <c r="I15" i="2"/>
  <c r="I52" i="2" s="1"/>
  <c r="H15" i="2"/>
  <c r="H52" i="2" s="1"/>
  <c r="B15" i="2"/>
  <c r="C15" i="2"/>
  <c r="C52" i="2" s="1"/>
  <c r="C9" i="2"/>
  <c r="C46" i="2" s="1"/>
  <c r="C7" i="2"/>
  <c r="C14" i="3" s="1"/>
  <c r="L9" i="3" s="1"/>
  <c r="B52" i="2"/>
  <c r="C48" i="2"/>
  <c r="A38" i="2"/>
  <c r="H4" i="2"/>
  <c r="B52" i="1"/>
  <c r="C60" i="1"/>
  <c r="I52" i="1"/>
  <c r="H52" i="1"/>
  <c r="C52" i="1"/>
  <c r="C48" i="1"/>
  <c r="C46" i="1"/>
  <c r="C44" i="1"/>
  <c r="A38" i="1"/>
  <c r="J15" i="1"/>
  <c r="J17" i="1" s="1"/>
  <c r="D41" i="1"/>
  <c r="C60" i="2" l="1"/>
  <c r="C20" i="3"/>
  <c r="J52" i="1"/>
  <c r="J54" i="1" s="1"/>
  <c r="J15" i="2"/>
  <c r="J17" i="2" s="1"/>
  <c r="G11" i="3" s="1"/>
  <c r="L20" i="3" s="1"/>
  <c r="C44" i="2"/>
  <c r="L17" i="3"/>
  <c r="C23" i="3"/>
  <c r="C17" i="3"/>
  <c r="L13" i="3" s="1"/>
  <c r="H41" i="2"/>
  <c r="J52" i="2"/>
  <c r="J54" i="2" s="1"/>
  <c r="D41" i="2"/>
  <c r="H41" i="1"/>
</calcChain>
</file>

<file path=xl/sharedStrings.xml><?xml version="1.0" encoding="utf-8"?>
<sst xmlns="http://schemas.openxmlformats.org/spreadsheetml/2006/main" count="464" uniqueCount="318">
  <si>
    <t>Счет на оплату №</t>
  </si>
  <si>
    <t>Покупатель:</t>
  </si>
  <si>
    <t>Основание:</t>
  </si>
  <si>
    <t>Получил:</t>
  </si>
  <si>
    <t>№</t>
  </si>
  <si>
    <t>Код товара</t>
  </si>
  <si>
    <t>Наименование товара (работы, услуги)</t>
  </si>
  <si>
    <t>Сумма отпускная</t>
  </si>
  <si>
    <t>Цена отпускная</t>
  </si>
  <si>
    <t>Количество</t>
  </si>
  <si>
    <t>Единица измерения</t>
  </si>
  <si>
    <t>сом</t>
  </si>
  <si>
    <t>____________________________________</t>
  </si>
  <si>
    <t>1. Компания является плательщиком по упрощенной системе налогообложения на основе единого налога (ст.357 НК КР)</t>
  </si>
  <si>
    <t xml:space="preserve">2. Компания не является плательщиком  НДС (ст.228 НК КР) </t>
  </si>
  <si>
    <t>Итого к оплате:</t>
  </si>
  <si>
    <t>М.П.</t>
  </si>
  <si>
    <t>Руководитель _________________________</t>
  </si>
  <si>
    <t>00001</t>
  </si>
  <si>
    <t>Счет-фактура №</t>
  </si>
  <si>
    <t>ОсОО "Первый Автосервис"</t>
  </si>
  <si>
    <t>предприятие, организация</t>
  </si>
  <si>
    <t>ПРИХОДНЫЙ КАССОВЫЙ ОРДЕР</t>
  </si>
  <si>
    <t>Форма КО-1</t>
  </si>
  <si>
    <t>Номер документа</t>
  </si>
  <si>
    <t>Дата составления</t>
  </si>
  <si>
    <t>Код аналитического учета</t>
  </si>
  <si>
    <t>Сумма сом., тыйын</t>
  </si>
  <si>
    <t>Код целевого назначения</t>
  </si>
  <si>
    <t>КВИТАНЦИЯ</t>
  </si>
  <si>
    <t>к приходному кассовому ордеру</t>
  </si>
  <si>
    <t>Корреспонди-рующий счет, субсчет</t>
  </si>
  <si>
    <t>Код по ОКУД</t>
  </si>
  <si>
    <t>Принято от:</t>
  </si>
  <si>
    <t>Сумма:</t>
  </si>
  <si>
    <t>Руководитель ________________</t>
  </si>
  <si>
    <t>Приложение:</t>
  </si>
  <si>
    <t>тыйын</t>
  </si>
  <si>
    <t>00</t>
  </si>
  <si>
    <t>ЛИНИЯ ОТРЕЗА</t>
  </si>
  <si>
    <t>Объект оценки:</t>
  </si>
  <si>
    <t>Дата составления отчета:</t>
  </si>
  <si>
    <t>Цель оценки:</t>
  </si>
  <si>
    <t>Транспортное средство</t>
  </si>
  <si>
    <t>Рыночная стоимость восстановления транспортного средства</t>
  </si>
  <si>
    <t>Метод поэлементного расчета затратного подхода и метод рыночной информации сравнительного подхода</t>
  </si>
  <si>
    <t>Кузов (VIN) №:</t>
  </si>
  <si>
    <t>Рама (шасси) №:</t>
  </si>
  <si>
    <t>Тех. паспорт №:</t>
  </si>
  <si>
    <t xml:space="preserve">Адрес регистрации: </t>
  </si>
  <si>
    <t>Год выпуска:</t>
  </si>
  <si>
    <t>Цвет:</t>
  </si>
  <si>
    <t>-</t>
  </si>
  <si>
    <t>Н/у</t>
  </si>
  <si>
    <t>Частная собственность</t>
  </si>
  <si>
    <t>Для возмещения убытков (ст. 14 ГК КР)</t>
  </si>
  <si>
    <t>Кол-во</t>
  </si>
  <si>
    <t>Нормо-час</t>
  </si>
  <si>
    <t>Стоимость</t>
  </si>
  <si>
    <t xml:space="preserve">Наименование </t>
  </si>
  <si>
    <t>Объект оценки</t>
  </si>
  <si>
    <t>Аналог 1</t>
  </si>
  <si>
    <t>Аналог 2</t>
  </si>
  <si>
    <t>Аналог 3</t>
  </si>
  <si>
    <t>Аналог 4</t>
  </si>
  <si>
    <t>Дата оценки</t>
  </si>
  <si>
    <t>Краткое описание</t>
  </si>
  <si>
    <t>См. Акт осмотра</t>
  </si>
  <si>
    <t>Год выпуска</t>
  </si>
  <si>
    <t>Стоимость, сом</t>
  </si>
  <si>
    <t>Наименование корректировки</t>
  </si>
  <si>
    <t>скорректированная цена аналога, сом</t>
  </si>
  <si>
    <t>на пробег и год выпуска</t>
  </si>
  <si>
    <t>на комплектацию</t>
  </si>
  <si>
    <t>Стоимость объекта оценки, сом</t>
  </si>
  <si>
    <t>Крыло заднее правое (боковина), арки заднего правого колеса, приборы освещения</t>
  </si>
  <si>
    <t>Крышка багажника (дверь задка), пол задний с лонжеронами, задняя панель с навесными деталями (вкл. бампер), облицовки багажного отсека</t>
  </si>
  <si>
    <t>Двигатель со сцеплением и навесным оборудованием</t>
  </si>
  <si>
    <t>Рулевой механизм</t>
  </si>
  <si>
    <t>Прочее</t>
  </si>
  <si>
    <t>Кз</t>
  </si>
  <si>
    <t>Кв</t>
  </si>
  <si>
    <t>Коп</t>
  </si>
  <si>
    <t>Заказчик (полностью):</t>
  </si>
  <si>
    <t>001-01/20</t>
  </si>
  <si>
    <t>Пробег (указать ед. изм.):</t>
  </si>
  <si>
    <t>Отчет</t>
  </si>
  <si>
    <t>Идентификация прав:</t>
  </si>
  <si>
    <t>Подходы и методы:</t>
  </si>
  <si>
    <t>Назначение результатов:</t>
  </si>
  <si>
    <t>Место осмотра:</t>
  </si>
  <si>
    <t>Вид стоимости:</t>
  </si>
  <si>
    <t>Рег. (гос.) номер:</t>
  </si>
  <si>
    <t>Тип документа:</t>
  </si>
  <si>
    <t>08KG848ААА</t>
  </si>
  <si>
    <t>Subaru Outback</t>
  </si>
  <si>
    <t>JTJTJ884888488848</t>
  </si>
  <si>
    <t>КР 8848884</t>
  </si>
  <si>
    <t>Пурпурный</t>
  </si>
  <si>
    <t>г. Бишкек</t>
  </si>
  <si>
    <t>г. Бишкек, 88 мкр-н, 8-48</t>
  </si>
  <si>
    <t>Определение стоимости причиненного ущерба</t>
  </si>
  <si>
    <t>Легковой седан</t>
  </si>
  <si>
    <t>Тип ТС / кузова:</t>
  </si>
  <si>
    <t>Владелец:</t>
  </si>
  <si>
    <t>Услуги</t>
  </si>
  <si>
    <t>Материалы</t>
  </si>
  <si>
    <t>Запчасти</t>
  </si>
  <si>
    <t>Итого, сом</t>
  </si>
  <si>
    <t>Итого, $</t>
  </si>
  <si>
    <t>%</t>
  </si>
  <si>
    <t>Ремонтное воздействие</t>
  </si>
  <si>
    <t>Контакт</t>
  </si>
  <si>
    <t>Стоимость, $</t>
  </si>
  <si>
    <t>+996</t>
  </si>
  <si>
    <t>Для легковых</t>
  </si>
  <si>
    <t>Объем ДВС (в куб. см):</t>
  </si>
  <si>
    <t>Наименование агрегата, узла, детали</t>
  </si>
  <si>
    <t>Оборудование кузова (салон а/м)</t>
  </si>
  <si>
    <t>Кузов в металле</t>
  </si>
  <si>
    <t>Остов кузова (пол салона, пороги, стойки, крыша, остекление салона (без дверей))</t>
  </si>
  <si>
    <t>Крыло переднее левое, брызговик крыла, передний левый лонжерон, наружные приборы освещения слева спереди</t>
  </si>
  <si>
    <t>Крыло переднее правое, брызговик крыла, передний правый лонжерон, наружные приборы освещения справа спереди</t>
  </si>
  <si>
    <t>Капот, рамка радиатора, навесные элементы рамки радиатора (вкл. бампер)</t>
  </si>
  <si>
    <t>Крыло заднее левое (боковина), арки заднего левого колеса, приборы освещения</t>
  </si>
  <si>
    <t>Двери (в сборе с арматурой)</t>
  </si>
  <si>
    <t>Двигатель со сцеплением без навесного оборудования</t>
  </si>
  <si>
    <t>Коробка переключения передач</t>
  </si>
  <si>
    <t>Передняя подвеска в сборе с рулевым приводом (подвеска в сборе, стабилизатор, тяги, тормозные механизмы, колеса, подрамник)</t>
  </si>
  <si>
    <t>Задняя подвеска в сборе (подвеска в сборе, стабилизатор, тяги, тормозные механизмы, колеса, подрамник, задний мост)</t>
  </si>
  <si>
    <t>Подвеска в сборе для полноприводных автомобилей (подвеска в сборе, стабилизатор, тяги, тормозные механизмы, колеса, подрамники, передний и задний</t>
  </si>
  <si>
    <t>Карданная передача (раздаточная коробка)</t>
  </si>
  <si>
    <t>Радиаторы (ДВС, кондиционера, прочие), АКБ, топливный бак, система выпуска газов</t>
  </si>
  <si>
    <t>Сi, %</t>
  </si>
  <si>
    <t>Сго, сом</t>
  </si>
  <si>
    <t>Кузовные детали, экстерьер, интерьер, в т.ч.:</t>
  </si>
  <si>
    <t>Передняя часть:</t>
  </si>
  <si>
    <t>Капот</t>
  </si>
  <si>
    <t>Крыло переднее (за 1 шт.)</t>
  </si>
  <si>
    <t>Бампер передний (в сборе с усилителем, накладками и молдингами, спойлером)</t>
  </si>
  <si>
    <t>Решетка (облицовка) радиатора</t>
  </si>
  <si>
    <t>Лонжерон передний (за 1 шт.)</t>
  </si>
  <si>
    <t>Брызговик крыла (за 1 шт.)</t>
  </si>
  <si>
    <t>Стекло ветрового окна</t>
  </si>
  <si>
    <t>Рамка радиатора</t>
  </si>
  <si>
    <t>Щиток передка</t>
  </si>
  <si>
    <t>Задняя часть:</t>
  </si>
  <si>
    <t>Бампер задний</t>
  </si>
  <si>
    <t>Крыло заднее (боковина &lt;1&gt;) в сборе с арками (за 1 шт.)</t>
  </si>
  <si>
    <t>Стекло окна задка</t>
  </si>
  <si>
    <t>Панель задка</t>
  </si>
  <si>
    <t>Пол багажника</t>
  </si>
  <si>
    <t>Облицовки багажника</t>
  </si>
  <si>
    <t>Крышка багажника (дверь задка)</t>
  </si>
  <si>
    <t>Средняя часть:</t>
  </si>
  <si>
    <t>Передняя стойка боковины (за 1 шт.)</t>
  </si>
  <si>
    <t>Средняя стойка боковины с порогом и частью пола (за 1 шт.)</t>
  </si>
  <si>
    <t>Облицовки стоек боковины, порогов, уплотнители, центральная консоль, противосолнечные козырьки, плафоны освещения, коврики пола, зеркало заднего вида</t>
  </si>
  <si>
    <t>Двери в сборе с арматурой (за 1 шт.),</t>
  </si>
  <si>
    <t>в т.ч. арматура дверей (за 1 дверной комплект)</t>
  </si>
  <si>
    <t>Сиденья (все)</t>
  </si>
  <si>
    <t>Панель крыши в сб. с обивкой, поперечинами и верх. частями стоек,</t>
  </si>
  <si>
    <t>в т.ч. обивка панели крыши</t>
  </si>
  <si>
    <t>Панель приборов в сборе с щитком приборов, решетками, вещевым ящиком, карманами и т.д.</t>
  </si>
  <si>
    <t>Ремень безопасности передний (за 1 шт.)</t>
  </si>
  <si>
    <t>Подушка безопасности пассажирская</t>
  </si>
  <si>
    <t>Двигатель, навесное, охлаждение, впускная и выпускная система</t>
  </si>
  <si>
    <t>Двигатель в сборе без навесного оборудования</t>
  </si>
  <si>
    <t>в т.ч. клапанная крышка</t>
  </si>
  <si>
    <t>в т.ч. масляный поддон</t>
  </si>
  <si>
    <t>в т.ч. блок цилиндров</t>
  </si>
  <si>
    <t>Дроссельный узел в сборе с заслонкой, клапаном и датчиком</t>
  </si>
  <si>
    <t>Генератор</t>
  </si>
  <si>
    <t>Коллектор впускной</t>
  </si>
  <si>
    <t>Коллектор выпускной</t>
  </si>
  <si>
    <t>Радиатор охлаждения в сборе с кожухами, вентилятором</t>
  </si>
  <si>
    <t>Стартер</t>
  </si>
  <si>
    <t>Короб воздушного фильтра с патрубками</t>
  </si>
  <si>
    <t>Выпускной тракт в сборе</t>
  </si>
  <si>
    <t>Турбокомпрессор (турбонагнетатель)</t>
  </si>
  <si>
    <t>Интеркулер</t>
  </si>
  <si>
    <t>Топливная система</t>
  </si>
  <si>
    <t>Бак топливный</t>
  </si>
  <si>
    <t>Система подачи топлива</t>
  </si>
  <si>
    <t>Трансмиссия</t>
  </si>
  <si>
    <t>Усредненный показатель с учетом всех возможных вариантов трансмиссии</t>
  </si>
  <si>
    <t>Подвеска</t>
  </si>
  <si>
    <t>Подвеска передняя в сборе с поперечиной</t>
  </si>
  <si>
    <t>Подвеска задняя в сборе с поперечиной</t>
  </si>
  <si>
    <t>Подвеска в сборе для полноприводных АМТС</t>
  </si>
  <si>
    <t>Рулевое управление</t>
  </si>
  <si>
    <t>Рулевая колонка в сборе с валом</t>
  </si>
  <si>
    <t>Насос ГУР</t>
  </si>
  <si>
    <t>Рулевое колесо в сборе с подушкой безопасности</t>
  </si>
  <si>
    <t>в т.ч.: подушка безопасности водительская</t>
  </si>
  <si>
    <t>Тормозная система</t>
  </si>
  <si>
    <t>Главный тормозной цилиндр</t>
  </si>
  <si>
    <t>Тормозной механизм колеса (за каждый колесный узел)</t>
  </si>
  <si>
    <t>Ручной (ножной) тормоз</t>
  </si>
  <si>
    <t>Блок управления АБС</t>
  </si>
  <si>
    <t>Электрооборудование</t>
  </si>
  <si>
    <t>Провода свечные с катушками (комплект)</t>
  </si>
  <si>
    <t>Монтажный блок</t>
  </si>
  <si>
    <t>Блок управления двигателем</t>
  </si>
  <si>
    <t>Фонари задние (за 1 шт.)</t>
  </si>
  <si>
    <t>Зеркала заднего вида боковые (за 1 шт.)</t>
  </si>
  <si>
    <t>Блок отопителя салона в сборе (корпус, двигатель, радиаторы)</t>
  </si>
  <si>
    <t>Насос кондиционера</t>
  </si>
  <si>
    <t>Конденсатор в сборе с осушителем, кожухом, вентилятором, трубками</t>
  </si>
  <si>
    <t>Фары (за 1 шт.)</t>
  </si>
  <si>
    <t>Жгут проводов ДВС</t>
  </si>
  <si>
    <t>Жгут проводов панели приборов</t>
  </si>
  <si>
    <t>Остальные жгуты проводов (все)</t>
  </si>
  <si>
    <t>Фара противотуманная (за 1 шт.)</t>
  </si>
  <si>
    <t>Для легковых (расширенный)</t>
  </si>
  <si>
    <t xml:space="preserve"> &lt;2&gt;</t>
  </si>
  <si>
    <t>8 &lt;1&gt;, 1 &lt;2&gt;, 6 &lt;3&gt;</t>
  </si>
  <si>
    <t xml:space="preserve"> 5,5 &lt;4&gt;</t>
  </si>
  <si>
    <t xml:space="preserve"> 4,5 &lt;4&gt;</t>
  </si>
  <si>
    <t xml:space="preserve"> 5 &lt;4&gt;, +5 &lt;4&gt;</t>
  </si>
  <si>
    <t xml:space="preserve"> 13 &lt;2&gt;</t>
  </si>
  <si>
    <t xml:space="preserve"> 0 &lt;1&gt;</t>
  </si>
  <si>
    <t xml:space="preserve"> 17 &lt;1&gt;</t>
  </si>
  <si>
    <t xml:space="preserve"> 3,1 &lt;1&gt;</t>
  </si>
  <si>
    <t xml:space="preserve"> 14 &lt;1&gt;</t>
  </si>
  <si>
    <t xml:space="preserve"> 45 &lt;1&gt;</t>
  </si>
  <si>
    <t xml:space="preserve"> 2,1 &lt;1&gt;</t>
  </si>
  <si>
    <t>Кабина в металле, внешнее и внутреннее оборудование и облицовки кабины, бампер</t>
  </si>
  <si>
    <t>24 (26 &lt;1&gt;)</t>
  </si>
  <si>
    <t>23 (25 &lt;1&gt;)</t>
  </si>
  <si>
    <t>22 (24 &lt;1&gt;)</t>
  </si>
  <si>
    <t>21 (23 &lt;1&gt;)</t>
  </si>
  <si>
    <t>19 (21 &lt;1&gt;)</t>
  </si>
  <si>
    <t>26 (28 &lt;1&gt;)</t>
  </si>
  <si>
    <t>Бампер передний</t>
  </si>
  <si>
    <t>Блок подрулевых переключателей</t>
  </si>
  <si>
    <t>Отопитель кабины в сборе</t>
  </si>
  <si>
    <t>Спойлеры, накладки, облицовки кабины наружные все</t>
  </si>
  <si>
    <t>Облицовки стоек боковины внутренние, порогов, уплотнители, центральная консоль, противосолнечные козырьки, плафоны освещения, коврики пола, зеркало заднего вида</t>
  </si>
  <si>
    <t>в т.ч. стекло- подъемник</t>
  </si>
  <si>
    <t>Панель приборов в сб. с щитком приборов, решетками, вещевым ящиком, карманами и т.д.,</t>
  </si>
  <si>
    <t>в т.ч. щиток приборов</t>
  </si>
  <si>
    <t>Зеркала заднего вида основные (за 1 шт.)</t>
  </si>
  <si>
    <t>Опора кабины (за 1 шт.)</t>
  </si>
  <si>
    <t>Стеклоочистители ветрового окна (мотор, привод, рычаги и щетки)</t>
  </si>
  <si>
    <t>Фара основная (за 1 шт.)</t>
  </si>
  <si>
    <t>Фонари габаритные, стоп-сигнала, указателя поворота, противотуманные (за 1 шт.)</t>
  </si>
  <si>
    <t>Подножка кабины (за 1 шт.)</t>
  </si>
  <si>
    <t>Жгут проводов кабины, блоки реле, датчики, предохранители</t>
  </si>
  <si>
    <t>Двигатель в сборе с навесным оборудованием, системой охлаждения, впускной и выпускной системами</t>
  </si>
  <si>
    <t>Система селективной каталитической нейтрализации выхлопных газов SCR (бак, змеевик, насосы, форсунка, блок управления)</t>
  </si>
  <si>
    <t>в т.ч. вентилятор с кожухами</t>
  </si>
  <si>
    <t>Система кондиционирования (конденсатор, испаритель, осушитель, насос, трубки)</t>
  </si>
  <si>
    <t>Труба выхлопная</t>
  </si>
  <si>
    <t>Топливная система (вся)</t>
  </si>
  <si>
    <t>Трансмиссия (усредненный показатель с учетом всех возможных вариантов трансмиссии)</t>
  </si>
  <si>
    <t>Подвеска (вся)</t>
  </si>
  <si>
    <t>в т.ч. подушка безопасности водительская</t>
  </si>
  <si>
    <t>Кузов (седельно-сцепное устройство тягача)</t>
  </si>
  <si>
    <t>3 (1 &lt;1&gt;)</t>
  </si>
  <si>
    <t>&lt;1&gt; Значение для автомобилей капотной компоновки.</t>
  </si>
  <si>
    <t>Бортовой</t>
  </si>
  <si>
    <t>Фургон</t>
  </si>
  <si>
    <t>Самосвал</t>
  </si>
  <si>
    <t>Рефрижератор</t>
  </si>
  <si>
    <t>Кран-манипулятор</t>
  </si>
  <si>
    <t>Седельный тягач</t>
  </si>
  <si>
    <t>&lt;1&gt; Значение для автомобилей с двумя боковыми дверьми.</t>
  </si>
  <si>
    <t>&lt;2&gt; Значение для автомобилей, оснащенных двигателем с турбонадувом.</t>
  </si>
  <si>
    <t>&lt;3&gt; Значение для автомобилей с двумя боковыми дверьми и оснащенными двигателем с турбонадувом.</t>
  </si>
  <si>
    <t>&lt;4&gt; Значение для автомобилей с полным приводом колес.</t>
  </si>
  <si>
    <t>1,3 (3,3 &lt;1&gt;)</t>
  </si>
  <si>
    <t>1,2 (3,2 &lt;1&gt;)</t>
  </si>
  <si>
    <t>1,1 (3,1 &lt;1&gt;)</t>
  </si>
  <si>
    <t>1,0 (3,0 &lt;1&gt;)</t>
  </si>
  <si>
    <t>Для грузовых</t>
  </si>
  <si>
    <t>Навальный Алексей «ФБК»</t>
  </si>
  <si>
    <t>УТС</t>
  </si>
  <si>
    <t>шт.</t>
  </si>
  <si>
    <t>Итого к оплате, сом</t>
  </si>
  <si>
    <t>Источник</t>
  </si>
  <si>
    <t>на состояние кузова и салона</t>
  </si>
  <si>
    <t>Цена предложения, сом</t>
  </si>
  <si>
    <t>Марка, модель</t>
  </si>
  <si>
    <t>на состояние двигателя и трансмиссии</t>
  </si>
  <si>
    <t>на торг (скидку)</t>
  </si>
  <si>
    <t>Дата оценки (осмотра):</t>
  </si>
  <si>
    <t>Основание оценки:</t>
  </si>
  <si>
    <t>Тип КПП:</t>
  </si>
  <si>
    <t>Положение руля:</t>
  </si>
  <si>
    <t>Номер отчета:</t>
  </si>
  <si>
    <t>Марка, модель:</t>
  </si>
  <si>
    <t>Автоматическая</t>
  </si>
  <si>
    <t>Слева</t>
  </si>
  <si>
    <t>Две тысячи пятьсот</t>
  </si>
  <si>
    <t>Сумма оплаты прописью, сом:</t>
  </si>
  <si>
    <t>Сумма оплаты цифрами, сом:</t>
  </si>
  <si>
    <t>Результат цифрами, сом:</t>
  </si>
  <si>
    <t>Результат прописью, сом:</t>
  </si>
  <si>
    <t>Курс USD/KGS:</t>
  </si>
  <si>
    <t>Нормо-час, сом:</t>
  </si>
  <si>
    <t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t>
  </si>
  <si>
    <t>Исполнитель:</t>
  </si>
  <si>
    <t>ОсОО «Первый Автосервис»</t>
  </si>
  <si>
    <t>Заказчик:</t>
  </si>
  <si>
    <t>№ отчёта</t>
  </si>
  <si>
    <t>Регистр. номер</t>
  </si>
  <si>
    <t>Стоимость
за отчёт, сом</t>
  </si>
  <si>
    <t>Итого на сумму:</t>
  </si>
  <si>
    <t>Вышеперечисленные работы (услуги) выполнены полностью и в срок.</t>
  </si>
  <si>
    <t>Заказчик претензий по объему, качеству и срокам оказания услуг претензий не имеет.</t>
  </si>
  <si>
    <t>Исполнитель _________________________</t>
  </si>
  <si>
    <t>Заказчик _________________________</t>
  </si>
  <si>
    <t>Марка, модель</t>
  </si>
  <si>
    <t>Наименование услуг, материалов, запчастей</t>
  </si>
  <si>
    <t>Хорошее состояние, 3,0 турбодизель, монитор, полный электропакет, 888 888 км, торг</t>
  </si>
  <si>
    <t>на тип трансмиссии</t>
  </si>
  <si>
    <t>Восемьсот восемьдесят восемь тысяч восемьсот восемьдесят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</si>
</sst>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\ _₽_-;\-* #,##0.00\ _₽_-;_-* &quot;-&quot;??\ _₽_-;_-@_-"/>
    <numFmt numFmtId="165" formatCode="\'sh\е\т\ \н\а\ \о\п\л\а\т\у\ \№\'\ dd\/mm"/>
    <numFmt numFmtId="166" formatCode="&quot;№&quot;dd\/mm"/>
    <numFmt numFmtId="167" formatCode="dd\/mm"/>
    <numFmt numFmtId="168" formatCode="[$-F800]dddd\,\ mmmm\ dd\,\ yyyy"/>
    <numFmt numFmtId="169" formatCode="#,##0.00\ _₽"/>
    <numFmt numFmtId="170" formatCode="#,##0.0\ _₽"/>
    <numFmt numFmtId="171" formatCode="0.0"/>
    <numFmt numFmtId="172" formatCode="[$-FC19]dd\ mmmm\ yyyy\ \г\.;@"/>
    <numFmt numFmtId="173" formatCode="#,##0.0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i/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8"/>
      <color theme="1"/>
      <name val="Times New Roman"/>
      <family val="1"/>
      <charset val="204"/>
    </font>
    <font>
      <vertAlign val="superscript"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0"/>
      <color theme="1"/>
      <name val="Times New Roman"/>
      <family val="2"/>
      <charset val="204"/>
    </font>
    <font>
      <b/>
      <sz val="12"/>
      <color theme="0"/>
      <name val="Times New Roman"/>
      <family val="1"/>
      <charset val="204"/>
    </font>
    <font>
      <sz val="12"/>
      <color indexed="8"/>
      <name val="Times New Roman"/>
      <family val="2"/>
      <charset val="204"/>
    </font>
    <font>
      <sz val="12"/>
      <color theme="1"/>
      <name val="Times New Roman"/>
      <family val="2"/>
      <charset val="204"/>
    </font>
    <font>
      <sz val="12"/>
      <color theme="1"/>
      <name val="Times New Roman"/>
      <family val="1"/>
      <charset val="204"/>
    </font>
    <font>
      <sz val="12"/>
      <color indexed="8"/>
      <name val="Times New Roman"/>
      <family val="1"/>
      <charset val="204"/>
    </font>
    <font>
      <sz val="11"/>
      <color indexed="8"/>
      <name val="Calibri"/>
      <family val="2"/>
      <charset val="204"/>
    </font>
    <font>
      <b/>
      <sz val="12"/>
      <color rgb="FFFFFFFF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b/>
      <sz val="11"/>
      <color theme="1"/>
      <name val="Calibri"/>
      <family val="2"/>
      <scheme val="minor"/>
    </font>
    <font>
      <b/>
      <sz val="12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u/>
      <sz val="11"/>
      <color theme="1"/>
      <name val="Times New Roman"/>
      <family val="1"/>
      <charset val="204"/>
    </font>
    <font>
      <i/>
      <sz val="11"/>
      <color theme="1"/>
      <name val="Times New Roman"/>
      <family val="1"/>
      <charset val="204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1499984740745262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5" fillId="0" borderId="0" applyFont="0" applyFill="0" applyBorder="0" applyAlignment="0" applyProtection="0"/>
    <xf numFmtId="0" fontId="14" fillId="0" borderId="0"/>
    <xf numFmtId="0" fontId="16" fillId="0" borderId="0"/>
    <xf numFmtId="0" fontId="17" fillId="0" borderId="0"/>
    <xf numFmtId="9" fontId="20" fillId="0" borderId="0" applyFont="0" applyFill="0" applyBorder="0" applyAlignment="0" applyProtection="0"/>
  </cellStyleXfs>
  <cellXfs count="228">
    <xf numFmtId="0" fontId="0" fillId="0" borderId="0" xfId="0"/>
    <xf numFmtId="0" fontId="6" fillId="0" borderId="0" xfId="0" applyFont="1" applyAlignment="1"/>
    <xf numFmtId="0" fontId="7" fillId="0" borderId="0" xfId="0" applyFont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6" fontId="8" fillId="0" borderId="0" xfId="0" applyNumberFormat="1" applyFont="1" applyAlignment="1">
      <alignment vertical="center"/>
    </xf>
    <xf numFmtId="0" fontId="7" fillId="0" borderId="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Border="1" applyAlignment="1">
      <alignment vertical="center"/>
    </xf>
    <xf numFmtId="4" fontId="7" fillId="0" borderId="23" xfId="1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vertical="center"/>
    </xf>
    <xf numFmtId="0" fontId="7" fillId="0" borderId="24" xfId="0" applyFont="1" applyBorder="1" applyAlignment="1">
      <alignment horizontal="center" vertical="center"/>
    </xf>
    <xf numFmtId="4" fontId="7" fillId="2" borderId="23" xfId="1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/>
    </xf>
    <xf numFmtId="0" fontId="7" fillId="0" borderId="0" xfId="0" applyFont="1" applyAlignment="1">
      <alignment horizontal="center" vertical="top" wrapText="1"/>
    </xf>
    <xf numFmtId="0" fontId="7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 vertical="center" wrapText="1"/>
    </xf>
    <xf numFmtId="3" fontId="10" fillId="0" borderId="0" xfId="0" applyNumberFormat="1" applyFont="1" applyAlignment="1">
      <alignment horizontal="right" vertical="center" wrapText="1"/>
    </xf>
    <xf numFmtId="49" fontId="6" fillId="0" borderId="0" xfId="0" applyNumberFormat="1" applyFont="1" applyAlignment="1">
      <alignment horizontal="center" vertical="center"/>
    </xf>
    <xf numFmtId="0" fontId="7" fillId="0" borderId="0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Border="1" applyAlignment="1">
      <alignment horizontal="right" vertical="center"/>
    </xf>
    <xf numFmtId="0" fontId="6" fillId="0" borderId="27" xfId="0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top" wrapText="1"/>
    </xf>
    <xf numFmtId="0" fontId="6" fillId="0" borderId="0" xfId="0" applyFont="1" applyBorder="1" applyAlignment="1">
      <alignment vertical="center" textRotation="90"/>
    </xf>
    <xf numFmtId="0" fontId="7" fillId="0" borderId="0" xfId="0" applyFont="1" applyBorder="1" applyAlignment="1">
      <alignment horizontal="center" vertical="top" wrapText="1"/>
    </xf>
    <xf numFmtId="0" fontId="0" fillId="0" borderId="0" xfId="0" applyBorder="1"/>
    <xf numFmtId="169" fontId="0" fillId="0" borderId="2" xfId="0" applyNumberFormat="1" applyBorder="1"/>
    <xf numFmtId="0" fontId="0" fillId="0" borderId="0" xfId="0"/>
    <xf numFmtId="0" fontId="0" fillId="0" borderId="2" xfId="0" applyBorder="1"/>
    <xf numFmtId="0" fontId="19" fillId="0" borderId="0" xfId="3" applyFont="1" applyFill="1" applyAlignment="1">
      <alignment horizontal="left" wrapText="1"/>
    </xf>
    <xf numFmtId="169" fontId="13" fillId="0" borderId="0" xfId="0" applyNumberFormat="1" applyFont="1"/>
    <xf numFmtId="0" fontId="13" fillId="0" borderId="0" xfId="0" applyFont="1" applyAlignment="1">
      <alignment horizontal="right"/>
    </xf>
    <xf numFmtId="2" fontId="0" fillId="0" borderId="0" xfId="0" applyNumberFormat="1"/>
    <xf numFmtId="2" fontId="0" fillId="0" borderId="0" xfId="0" quotePrefix="1" applyNumberFormat="1" applyBorder="1"/>
    <xf numFmtId="4" fontId="0" fillId="0" borderId="0" xfId="0" quotePrefix="1" applyNumberFormat="1" applyBorder="1" applyAlignment="1">
      <alignment horizontal="right"/>
    </xf>
    <xf numFmtId="4" fontId="0" fillId="0" borderId="0" xfId="0" applyNumberFormat="1" applyBorder="1"/>
    <xf numFmtId="0" fontId="0" fillId="0" borderId="0" xfId="0" applyFill="1"/>
    <xf numFmtId="0" fontId="0" fillId="0" borderId="0" xfId="0" applyFill="1" applyBorder="1"/>
    <xf numFmtId="169" fontId="0" fillId="0" borderId="0" xfId="0" applyNumberFormat="1" applyBorder="1"/>
    <xf numFmtId="0" fontId="13" fillId="0" borderId="0" xfId="0" applyFont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169" fontId="0" fillId="0" borderId="2" xfId="0" applyNumberFormat="1" applyBorder="1" applyAlignment="1">
      <alignment horizontal="center"/>
    </xf>
    <xf numFmtId="0" fontId="13" fillId="0" borderId="2" xfId="0" applyFont="1" applyBorder="1" applyAlignment="1">
      <alignment horizontal="center" vertical="center"/>
    </xf>
    <xf numFmtId="169" fontId="13" fillId="0" borderId="0" xfId="0" applyNumberFormat="1" applyFont="1" applyBorder="1"/>
    <xf numFmtId="4" fontId="13" fillId="0" borderId="2" xfId="0" applyNumberFormat="1" applyFont="1" applyBorder="1" applyAlignment="1">
      <alignment horizontal="center"/>
    </xf>
    <xf numFmtId="0" fontId="0" fillId="0" borderId="2" xfId="0" quotePrefix="1" applyBorder="1"/>
    <xf numFmtId="169" fontId="0" fillId="0" borderId="0" xfId="0" applyNumberFormat="1" applyFill="1" applyBorder="1"/>
    <xf numFmtId="0" fontId="0" fillId="0" borderId="0" xfId="0" quotePrefix="1" applyBorder="1"/>
    <xf numFmtId="169" fontId="0" fillId="0" borderId="2" xfId="0" applyNumberFormat="1" applyFill="1" applyBorder="1"/>
    <xf numFmtId="170" fontId="0" fillId="0" borderId="2" xfId="0" applyNumberFormat="1" applyFill="1" applyBorder="1"/>
    <xf numFmtId="170" fontId="13" fillId="0" borderId="0" xfId="0" applyNumberFormat="1" applyFont="1" applyBorder="1"/>
    <xf numFmtId="169" fontId="13" fillId="0" borderId="0" xfId="0" applyNumberFormat="1" applyFont="1" applyFill="1" applyBorder="1"/>
    <xf numFmtId="0" fontId="13" fillId="0" borderId="0" xfId="0" applyFont="1" applyAlignment="1">
      <alignment horizontal="center" vertical="center"/>
    </xf>
    <xf numFmtId="1" fontId="13" fillId="0" borderId="2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" fontId="0" fillId="0" borderId="2" xfId="0" applyNumberFormat="1" applyBorder="1" applyAlignment="1">
      <alignment horizontal="right"/>
    </xf>
    <xf numFmtId="1" fontId="13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71" fontId="0" fillId="0" borderId="2" xfId="0" applyNumberFormat="1" applyBorder="1" applyAlignment="1">
      <alignment horizontal="right"/>
    </xf>
    <xf numFmtId="2" fontId="0" fillId="0" borderId="2" xfId="0" applyNumberFormat="1" applyBorder="1" applyAlignment="1">
      <alignment horizontal="right"/>
    </xf>
    <xf numFmtId="2" fontId="13" fillId="0" borderId="36" xfId="0" applyNumberFormat="1" applyFont="1" applyBorder="1" applyAlignment="1">
      <alignment horizontal="center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 applyAlignment="1">
      <alignment horizontal="right"/>
    </xf>
    <xf numFmtId="2" fontId="13" fillId="0" borderId="2" xfId="0" applyNumberFormat="1" applyFont="1" applyBorder="1" applyAlignment="1">
      <alignment horizontal="right"/>
    </xf>
    <xf numFmtId="0" fontId="22" fillId="0" borderId="2" xfId="0" applyFont="1" applyBorder="1" applyAlignment="1">
      <alignment vertical="center" wrapText="1"/>
    </xf>
    <xf numFmtId="14" fontId="18" fillId="0" borderId="2" xfId="0" applyNumberFormat="1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1" fontId="23" fillId="0" borderId="2" xfId="0" quotePrefix="1" applyNumberFormat="1" applyFont="1" applyBorder="1" applyAlignment="1">
      <alignment horizontal="center" vertical="center" wrapText="1"/>
    </xf>
    <xf numFmtId="0" fontId="0" fillId="0" borderId="0" xfId="0" applyFont="1"/>
    <xf numFmtId="3" fontId="24" fillId="5" borderId="2" xfId="0" applyNumberFormat="1" applyFont="1" applyFill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6" fillId="0" borderId="0" xfId="0" applyFont="1"/>
    <xf numFmtId="3" fontId="22" fillId="0" borderId="2" xfId="0" applyNumberFormat="1" applyFont="1" applyBorder="1" applyAlignment="1">
      <alignment horizontal="center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2" xfId="0" applyFont="1" applyFill="1" applyBorder="1" applyAlignment="1">
      <alignment vertical="center" wrapText="1"/>
    </xf>
    <xf numFmtId="0" fontId="4" fillId="0" borderId="0" xfId="0" applyFont="1" applyFill="1" applyBorder="1"/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5" fontId="28" fillId="0" borderId="0" xfId="0" applyNumberFormat="1" applyFont="1" applyAlignment="1">
      <alignment vertical="center" wrapText="1"/>
    </xf>
    <xf numFmtId="0" fontId="29" fillId="0" borderId="0" xfId="0" applyFont="1" applyAlignment="1">
      <alignment vertical="center"/>
    </xf>
    <xf numFmtId="0" fontId="28" fillId="0" borderId="0" xfId="0" applyNumberFormat="1" applyFont="1" applyAlignment="1">
      <alignment vertical="center"/>
    </xf>
    <xf numFmtId="165" fontId="28" fillId="0" borderId="0" xfId="0" applyNumberFormat="1" applyFont="1" applyAlignment="1">
      <alignment horizontal="right" vertical="center" wrapText="1"/>
    </xf>
    <xf numFmtId="14" fontId="28" fillId="0" borderId="0" xfId="0" applyNumberFormat="1" applyFont="1" applyAlignment="1">
      <alignment vertical="center"/>
    </xf>
    <xf numFmtId="0" fontId="28" fillId="0" borderId="0" xfId="0" applyFont="1" applyAlignment="1">
      <alignment horizontal="left" vertical="center"/>
    </xf>
    <xf numFmtId="0" fontId="30" fillId="0" borderId="0" xfId="0" applyFont="1" applyBorder="1" applyAlignment="1">
      <alignment vertical="center"/>
    </xf>
    <xf numFmtId="0" fontId="28" fillId="0" borderId="0" xfId="0" applyFont="1" applyBorder="1" applyAlignment="1">
      <alignment vertical="center"/>
    </xf>
    <xf numFmtId="0" fontId="28" fillId="0" borderId="0" xfId="0" applyFont="1" applyAlignment="1">
      <alignment horizontal="center" vertical="center"/>
    </xf>
    <xf numFmtId="2" fontId="28" fillId="0" borderId="28" xfId="0" applyNumberFormat="1" applyFont="1" applyFill="1" applyBorder="1" applyAlignment="1">
      <alignment horizontal="center" vertical="center" wrapText="1"/>
    </xf>
    <xf numFmtId="2" fontId="28" fillId="0" borderId="13" xfId="0" applyNumberFormat="1" applyFont="1" applyFill="1" applyBorder="1" applyAlignment="1">
      <alignment horizontal="center" vertical="center" wrapText="1"/>
    </xf>
    <xf numFmtId="2" fontId="28" fillId="0" borderId="14" xfId="0" applyNumberFormat="1" applyFont="1" applyFill="1" applyBorder="1" applyAlignment="1">
      <alignment horizontal="center" vertical="center" wrapText="1"/>
    </xf>
    <xf numFmtId="0" fontId="28" fillId="0" borderId="0" xfId="0" applyFont="1" applyFill="1" applyBorder="1" applyAlignment="1">
      <alignment vertical="center"/>
    </xf>
    <xf numFmtId="0" fontId="29" fillId="0" borderId="0" xfId="0" applyFont="1" applyFill="1" applyAlignment="1">
      <alignment vertical="center"/>
    </xf>
    <xf numFmtId="0" fontId="29" fillId="0" borderId="31" xfId="0" applyFont="1" applyFill="1" applyBorder="1" applyAlignment="1">
      <alignment horizontal="left"/>
    </xf>
    <xf numFmtId="0" fontId="29" fillId="0" borderId="2" xfId="0" applyFont="1" applyFill="1" applyBorder="1" applyAlignment="1">
      <alignment horizontal="left"/>
    </xf>
    <xf numFmtId="169" fontId="29" fillId="0" borderId="16" xfId="0" applyNumberFormat="1" applyFont="1" applyFill="1" applyBorder="1" applyAlignment="1">
      <alignment horizontal="center"/>
    </xf>
    <xf numFmtId="169" fontId="28" fillId="0" borderId="23" xfId="0" applyNumberFormat="1" applyFont="1" applyFill="1" applyBorder="1" applyAlignment="1">
      <alignment horizontal="center"/>
    </xf>
    <xf numFmtId="0" fontId="31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0" fillId="0" borderId="0" xfId="0" applyFill="1" applyBorder="1" applyAlignment="1">
      <alignment horizontal="left"/>
    </xf>
    <xf numFmtId="0" fontId="0" fillId="6" borderId="0" xfId="0" applyFill="1"/>
    <xf numFmtId="0" fontId="0" fillId="6" borderId="0" xfId="0" applyFill="1" applyBorder="1"/>
    <xf numFmtId="0" fontId="0" fillId="6" borderId="37" xfId="0" applyFill="1" applyBorder="1"/>
    <xf numFmtId="0" fontId="0" fillId="6" borderId="38" xfId="0" applyFill="1" applyBorder="1"/>
    <xf numFmtId="0" fontId="0" fillId="0" borderId="38" xfId="0" applyFill="1" applyBorder="1"/>
    <xf numFmtId="0" fontId="0" fillId="6" borderId="20" xfId="0" applyFill="1" applyBorder="1"/>
    <xf numFmtId="0" fontId="0" fillId="6" borderId="39" xfId="0" applyFill="1" applyBorder="1" applyAlignment="1">
      <alignment horizontal="left"/>
    </xf>
    <xf numFmtId="0" fontId="0" fillId="6" borderId="40" xfId="0" applyFill="1" applyBorder="1" applyAlignment="1">
      <alignment horizontal="left"/>
    </xf>
    <xf numFmtId="0" fontId="0" fillId="0" borderId="40" xfId="0" applyFill="1" applyBorder="1" applyAlignment="1">
      <alignment horizontal="left"/>
    </xf>
    <xf numFmtId="172" fontId="0" fillId="6" borderId="40" xfId="0" applyNumberFormat="1" applyFill="1" applyBorder="1" applyAlignment="1">
      <alignment horizontal="left"/>
    </xf>
    <xf numFmtId="172" fontId="0" fillId="0" borderId="40" xfId="0" applyNumberFormat="1" applyFill="1" applyBorder="1" applyAlignment="1">
      <alignment horizontal="left"/>
    </xf>
    <xf numFmtId="0" fontId="3" fillId="0" borderId="40" xfId="0" applyFont="1" applyFill="1" applyBorder="1" applyAlignment="1">
      <alignment horizontal="left"/>
    </xf>
    <xf numFmtId="3" fontId="0" fillId="6" borderId="40" xfId="0" applyNumberFormat="1" applyFill="1" applyBorder="1" applyAlignment="1">
      <alignment horizontal="left"/>
    </xf>
    <xf numFmtId="0" fontId="0" fillId="6" borderId="41" xfId="0" applyFill="1" applyBorder="1" applyAlignment="1">
      <alignment horizontal="left"/>
    </xf>
    <xf numFmtId="0" fontId="0" fillId="0" borderId="20" xfId="0" applyFill="1" applyBorder="1"/>
    <xf numFmtId="0" fontId="0" fillId="0" borderId="41" xfId="0" applyFill="1" applyBorder="1" applyAlignment="1">
      <alignment horizontal="left"/>
    </xf>
    <xf numFmtId="0" fontId="0" fillId="0" borderId="37" xfId="0" applyFill="1" applyBorder="1"/>
    <xf numFmtId="0" fontId="0" fillId="0" borderId="20" xfId="0" applyFill="1" applyBorder="1" applyAlignment="1">
      <alignment vertical="top" wrapText="1"/>
    </xf>
    <xf numFmtId="3" fontId="2" fillId="0" borderId="40" xfId="0" applyNumberFormat="1" applyFont="1" applyFill="1" applyBorder="1" applyAlignment="1">
      <alignment horizontal="left"/>
    </xf>
    <xf numFmtId="0" fontId="1" fillId="0" borderId="41" xfId="0" applyFont="1" applyFill="1" applyBorder="1" applyAlignment="1">
      <alignment horizontal="left"/>
    </xf>
    <xf numFmtId="173" fontId="2" fillId="0" borderId="39" xfId="0" applyNumberFormat="1" applyFont="1" applyFill="1" applyBorder="1" applyAlignment="1">
      <alignment horizontal="left"/>
    </xf>
    <xf numFmtId="0" fontId="6" fillId="0" borderId="0" xfId="0" applyFont="1" applyAlignment="1">
      <alignment horizontal="left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1" fontId="6" fillId="0" borderId="3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4" fontId="6" fillId="0" borderId="3" xfId="1" applyNumberFormat="1" applyFont="1" applyBorder="1" applyAlignment="1">
      <alignment horizontal="center" vertical="center" wrapText="1"/>
    </xf>
    <xf numFmtId="4" fontId="6" fillId="0" borderId="4" xfId="1" applyNumberFormat="1" applyFont="1" applyBorder="1" applyAlignment="1">
      <alignment horizontal="center" vertical="center" wrapText="1"/>
    </xf>
    <xf numFmtId="4" fontId="6" fillId="0" borderId="18" xfId="1" applyNumberFormat="1" applyFont="1" applyBorder="1" applyAlignment="1">
      <alignment horizontal="center" vertical="center" wrapText="1"/>
    </xf>
    <xf numFmtId="4" fontId="6" fillId="0" borderId="19" xfId="1" applyNumberFormat="1" applyFont="1" applyBorder="1" applyAlignment="1">
      <alignment horizontal="center" vertical="center" wrapText="1"/>
    </xf>
    <xf numFmtId="0" fontId="7" fillId="0" borderId="20" xfId="0" applyFont="1" applyBorder="1" applyAlignment="1">
      <alignment horizontal="right" vertical="center"/>
    </xf>
    <xf numFmtId="0" fontId="7" fillId="0" borderId="21" xfId="0" applyFont="1" applyBorder="1" applyAlignment="1">
      <alignment horizontal="right" vertical="center"/>
    </xf>
    <xf numFmtId="0" fontId="7" fillId="0" borderId="22" xfId="0" applyFont="1" applyBorder="1" applyAlignment="1">
      <alignment horizontal="right" vertical="center"/>
    </xf>
    <xf numFmtId="0" fontId="9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167" fontId="8" fillId="0" borderId="0" xfId="0" applyNumberFormat="1" applyFont="1" applyAlignment="1">
      <alignment horizontal="left" vertical="center"/>
    </xf>
    <xf numFmtId="14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1" fontId="6" fillId="0" borderId="3" xfId="0" quotePrefix="1" applyNumberFormat="1" applyFont="1" applyBorder="1" applyAlignment="1">
      <alignment horizontal="center" vertical="center" wrapText="1"/>
    </xf>
    <xf numFmtId="1" fontId="6" fillId="0" borderId="4" xfId="0" applyNumberFormat="1" applyFont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right" vertical="center"/>
    </xf>
    <xf numFmtId="0" fontId="7" fillId="2" borderId="21" xfId="0" applyFont="1" applyFill="1" applyBorder="1" applyAlignment="1">
      <alignment horizontal="right" vertical="center"/>
    </xf>
    <xf numFmtId="0" fontId="7" fillId="2" borderId="22" xfId="0" applyFont="1" applyFill="1" applyBorder="1" applyAlignment="1">
      <alignment horizontal="right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0" borderId="0" xfId="0" applyNumberFormat="1" applyFont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0" fillId="0" borderId="0" xfId="0" applyFont="1" applyAlignment="1">
      <alignment horizontal="left" vertical="top" wrapText="1"/>
    </xf>
    <xf numFmtId="0" fontId="10" fillId="0" borderId="0" xfId="0" applyFont="1" applyBorder="1" applyAlignment="1">
      <alignment horizontal="left" vertical="top" wrapText="1"/>
    </xf>
    <xf numFmtId="0" fontId="6" fillId="0" borderId="26" xfId="0" applyFont="1" applyBorder="1" applyAlignment="1">
      <alignment horizontal="center" vertical="center" textRotation="90"/>
    </xf>
    <xf numFmtId="14" fontId="6" fillId="0" borderId="5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top" wrapText="1"/>
    </xf>
    <xf numFmtId="0" fontId="10" fillId="0" borderId="0" xfId="0" applyFont="1" applyBorder="1" applyAlignment="1">
      <alignment horizontal="center" vertical="top" wrapText="1"/>
    </xf>
    <xf numFmtId="168" fontId="10" fillId="0" borderId="0" xfId="0" applyNumberFormat="1" applyFont="1" applyBorder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0" borderId="13" xfId="0" applyFont="1" applyBorder="1" applyAlignment="1">
      <alignment horizontal="center" vertical="center" textRotation="90" wrapText="1"/>
    </xf>
    <xf numFmtId="0" fontId="11" fillId="0" borderId="2" xfId="0" applyFont="1" applyBorder="1" applyAlignment="1">
      <alignment horizontal="center" vertical="center" textRotation="90" wrapText="1"/>
    </xf>
    <xf numFmtId="0" fontId="11" fillId="0" borderId="1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49" fontId="6" fillId="0" borderId="31" xfId="0" applyNumberFormat="1" applyFont="1" applyBorder="1" applyAlignment="1">
      <alignment horizontal="center" vertical="center"/>
    </xf>
    <xf numFmtId="0" fontId="6" fillId="0" borderId="32" xfId="0" applyNumberFormat="1" applyFont="1" applyBorder="1" applyAlignment="1">
      <alignment horizontal="center" vertical="center"/>
    </xf>
    <xf numFmtId="4" fontId="6" fillId="0" borderId="2" xfId="0" applyNumberFormat="1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 textRotation="90" wrapText="1"/>
    </xf>
    <xf numFmtId="0" fontId="11" fillId="0" borderId="31" xfId="0" applyFont="1" applyBorder="1" applyAlignment="1">
      <alignment horizontal="center" vertical="center" textRotation="90" wrapText="1"/>
    </xf>
    <xf numFmtId="0" fontId="11" fillId="0" borderId="29" xfId="0" applyFont="1" applyBorder="1" applyAlignment="1">
      <alignment horizontal="center" vertical="center" textRotation="90" wrapText="1"/>
    </xf>
    <xf numFmtId="0" fontId="11" fillId="0" borderId="30" xfId="0" applyFont="1" applyBorder="1" applyAlignment="1">
      <alignment horizontal="center" vertical="center" textRotation="90" wrapText="1"/>
    </xf>
    <xf numFmtId="0" fontId="11" fillId="0" borderId="27" xfId="0" applyFont="1" applyBorder="1" applyAlignment="1">
      <alignment horizontal="center" vertical="center" textRotation="90" wrapText="1"/>
    </xf>
    <xf numFmtId="0" fontId="11" fillId="0" borderId="25" xfId="0" applyFont="1" applyBorder="1" applyAlignment="1">
      <alignment horizontal="center" vertical="center" textRotation="90" wrapText="1"/>
    </xf>
    <xf numFmtId="0" fontId="11" fillId="0" borderId="8" xfId="0" applyFont="1" applyBorder="1" applyAlignment="1">
      <alignment horizontal="center" vertical="center" textRotation="90" wrapText="1"/>
    </xf>
    <xf numFmtId="0" fontId="11" fillId="0" borderId="9" xfId="0" applyFont="1" applyBorder="1" applyAlignment="1">
      <alignment horizontal="center" vertical="center" textRotation="90" wrapText="1"/>
    </xf>
    <xf numFmtId="0" fontId="6" fillId="0" borderId="14" xfId="0" applyFont="1" applyBorder="1" applyAlignment="1">
      <alignment horizontal="center" vertical="center"/>
    </xf>
    <xf numFmtId="49" fontId="10" fillId="0" borderId="0" xfId="0" applyNumberFormat="1" applyFont="1" applyBorder="1" applyAlignment="1">
      <alignment horizontal="left" vertical="center"/>
    </xf>
    <xf numFmtId="0" fontId="10" fillId="0" borderId="0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65" fontId="27" fillId="0" borderId="0" xfId="0" applyNumberFormat="1" applyFont="1" applyAlignment="1">
      <alignment horizontal="center" vertical="center" wrapText="1"/>
    </xf>
    <xf numFmtId="0" fontId="28" fillId="0" borderId="0" xfId="0" applyNumberFormat="1" applyFont="1" applyAlignment="1">
      <alignment horizontal="center" vertical="center"/>
    </xf>
    <xf numFmtId="0" fontId="30" fillId="0" borderId="0" xfId="0" applyFont="1" applyBorder="1" applyAlignment="1">
      <alignment horizontal="left" vertical="center"/>
    </xf>
    <xf numFmtId="0" fontId="28" fillId="0" borderId="20" xfId="0" applyFont="1" applyFill="1" applyBorder="1" applyAlignment="1">
      <alignment horizontal="right"/>
    </xf>
    <xf numFmtId="0" fontId="28" fillId="0" borderId="21" xfId="0" applyFont="1" applyFill="1" applyBorder="1" applyAlignment="1">
      <alignment horizontal="right"/>
    </xf>
    <xf numFmtId="0" fontId="28" fillId="0" borderId="22" xfId="0" applyFont="1" applyFill="1" applyBorder="1" applyAlignment="1">
      <alignment horizontal="right"/>
    </xf>
    <xf numFmtId="0" fontId="28" fillId="0" borderId="0" xfId="0" applyFont="1" applyAlignment="1">
      <alignment horizontal="center" vertical="center"/>
    </xf>
    <xf numFmtId="0" fontId="22" fillId="0" borderId="2" xfId="0" applyFont="1" applyBorder="1" applyAlignment="1">
      <alignment vertical="center" wrapText="1"/>
    </xf>
    <xf numFmtId="0" fontId="15" fillId="3" borderId="10" xfId="0" applyFont="1" applyFill="1" applyBorder="1" applyAlignment="1">
      <alignment vertical="center"/>
    </xf>
    <xf numFmtId="0" fontId="15" fillId="3" borderId="36" xfId="0" applyFont="1" applyFill="1" applyBorder="1" applyAlignment="1">
      <alignment vertical="center"/>
    </xf>
    <xf numFmtId="0" fontId="23" fillId="5" borderId="2" xfId="0" applyFont="1" applyFill="1" applyBorder="1" applyAlignment="1">
      <alignment vertical="center" wrapText="1"/>
    </xf>
    <xf numFmtId="3" fontId="21" fillId="4" borderId="2" xfId="0" applyNumberFormat="1" applyFont="1" applyFill="1" applyBorder="1" applyAlignment="1">
      <alignment horizontal="center" vertical="center" wrapText="1"/>
    </xf>
    <xf numFmtId="0" fontId="21" fillId="4" borderId="2" xfId="0" applyFont="1" applyFill="1" applyBorder="1" applyAlignment="1">
      <alignment vertical="center" wrapText="1"/>
    </xf>
  </cellXfs>
  <cellStyles count="6">
    <cellStyle name="Обычный" xfId="0" builtinId="0"/>
    <cellStyle name="Обычный 2 3" xfId="4" xr:uid="{00000000-0005-0000-0000-000001000000}"/>
    <cellStyle name="Обычный 3 4" xfId="2" xr:uid="{00000000-0005-0000-0000-000002000000}"/>
    <cellStyle name="Обычный_Расчет подвал по ул.Токтогула 57" xfId="3" xr:uid="{00000000-0005-0000-0000-000003000000}"/>
    <cellStyle name="Процентный 4" xfId="5" xr:uid="{00000000-0005-0000-0000-000004000000}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zoomScaleNormal="100" workbookViewId="0">
      <selection activeCell="B1" sqref="B1"/>
    </sheetView>
  </sheetViews>
  <sheetFormatPr defaultColWidth="9.1796875" defaultRowHeight="14.5" x14ac:dyDescent="0.35"/>
  <cols>
    <col min="1" max="1" width="29.26953125" style="39" bestFit="1" customWidth="1"/>
    <col min="2" max="2" width="103.453125" style="39" customWidth="1"/>
    <col min="3" max="3" width="12.26953125" style="39" customWidth="1"/>
    <col min="4" max="13" width="8.7265625" style="39" customWidth="1"/>
    <col min="14" max="14" width="9.26953125" style="39" customWidth="1"/>
    <col min="15" max="16384" width="9.1796875" style="39"/>
  </cols>
  <sheetData>
    <row r="1" spans="1:13" s="103" customFormat="1" x14ac:dyDescent="0.35">
      <c r="A1" s="105" t="s">
        <v>93</v>
      </c>
      <c r="B1" s="109" t="s">
        <v>86</v>
      </c>
    </row>
    <row r="2" spans="1:13" s="103" customFormat="1" x14ac:dyDescent="0.35">
      <c r="A2" s="106" t="s">
        <v>290</v>
      </c>
      <c r="B2" s="110" t="s">
        <v>84</v>
      </c>
    </row>
    <row r="3" spans="1:13" x14ac:dyDescent="0.35">
      <c r="A3" s="107" t="s">
        <v>287</v>
      </c>
      <c r="B3" s="111" t="str">
        <f>"Договор №"&amp;B2&amp;" от "&amp;TEXT(B4,"[$-ru-RU-x-genlower]ДД ММММ ГГГГ \г\.;@")</f>
        <v>Договор №001-01/20 от 01 января 2020 г.</v>
      </c>
    </row>
    <row r="4" spans="1:13" s="103" customFormat="1" x14ac:dyDescent="0.35">
      <c r="A4" s="106" t="s">
        <v>286</v>
      </c>
      <c r="B4" s="112">
        <v>43831</v>
      </c>
    </row>
    <row r="5" spans="1:13" x14ac:dyDescent="0.35">
      <c r="A5" s="107" t="s">
        <v>41</v>
      </c>
      <c r="B5" s="113">
        <v>43837</v>
      </c>
    </row>
    <row r="6" spans="1:13" s="103" customFormat="1" x14ac:dyDescent="0.35">
      <c r="A6" s="106" t="s">
        <v>83</v>
      </c>
      <c r="B6" s="110" t="s">
        <v>276</v>
      </c>
    </row>
    <row r="7" spans="1:13" x14ac:dyDescent="0.35">
      <c r="A7" s="107" t="s">
        <v>87</v>
      </c>
      <c r="B7" s="111" t="s">
        <v>54</v>
      </c>
    </row>
    <row r="8" spans="1:13" x14ac:dyDescent="0.35">
      <c r="A8" s="107" t="s">
        <v>90</v>
      </c>
      <c r="B8" s="114" t="s">
        <v>99</v>
      </c>
      <c r="D8" s="40"/>
      <c r="E8" s="40"/>
      <c r="F8" s="40"/>
      <c r="G8" s="40"/>
      <c r="H8" s="40"/>
      <c r="I8" s="40"/>
      <c r="J8" s="79"/>
      <c r="K8" s="40"/>
      <c r="L8" s="40"/>
      <c r="M8" s="40"/>
    </row>
    <row r="9" spans="1:13" s="103" customFormat="1" x14ac:dyDescent="0.35">
      <c r="A9" s="106" t="s">
        <v>42</v>
      </c>
      <c r="B9" s="110" t="s">
        <v>101</v>
      </c>
    </row>
    <row r="10" spans="1:13" x14ac:dyDescent="0.35">
      <c r="A10" s="107" t="s">
        <v>89</v>
      </c>
      <c r="B10" s="111" t="s">
        <v>55</v>
      </c>
    </row>
    <row r="11" spans="1:13" x14ac:dyDescent="0.35">
      <c r="A11" s="107" t="s">
        <v>91</v>
      </c>
      <c r="B11" s="111" t="s">
        <v>44</v>
      </c>
    </row>
    <row r="12" spans="1:13" x14ac:dyDescent="0.35">
      <c r="A12" s="107" t="s">
        <v>88</v>
      </c>
      <c r="B12" s="111" t="s">
        <v>45</v>
      </c>
    </row>
    <row r="13" spans="1:13" s="103" customFormat="1" x14ac:dyDescent="0.35">
      <c r="A13" s="106" t="s">
        <v>296</v>
      </c>
      <c r="B13" s="115">
        <v>2500</v>
      </c>
    </row>
    <row r="14" spans="1:13" s="103" customFormat="1" ht="15" thickBot="1" x14ac:dyDescent="0.4">
      <c r="A14" s="108" t="s">
        <v>295</v>
      </c>
      <c r="B14" s="116" t="s">
        <v>294</v>
      </c>
    </row>
    <row r="15" spans="1:13" ht="15" thickBot="1" x14ac:dyDescent="0.4">
      <c r="A15" s="40"/>
      <c r="B15" s="102"/>
    </row>
    <row r="16" spans="1:13" s="103" customFormat="1" x14ac:dyDescent="0.35">
      <c r="A16" s="105" t="s">
        <v>40</v>
      </c>
      <c r="B16" s="109" t="s">
        <v>43</v>
      </c>
      <c r="D16" s="104"/>
    </row>
    <row r="17" spans="1:7" s="103" customFormat="1" x14ac:dyDescent="0.35">
      <c r="A17" s="106" t="s">
        <v>291</v>
      </c>
      <c r="B17" s="110" t="s">
        <v>95</v>
      </c>
    </row>
    <row r="18" spans="1:7" s="103" customFormat="1" x14ac:dyDescent="0.35">
      <c r="A18" s="106" t="s">
        <v>92</v>
      </c>
      <c r="B18" s="110" t="s">
        <v>94</v>
      </c>
    </row>
    <row r="19" spans="1:7" x14ac:dyDescent="0.35">
      <c r="A19" s="107" t="s">
        <v>46</v>
      </c>
      <c r="B19" s="111" t="s">
        <v>96</v>
      </c>
    </row>
    <row r="20" spans="1:7" x14ac:dyDescent="0.35">
      <c r="A20" s="107" t="s">
        <v>47</v>
      </c>
      <c r="B20" s="111" t="s">
        <v>52</v>
      </c>
    </row>
    <row r="21" spans="1:7" x14ac:dyDescent="0.35">
      <c r="A21" s="107" t="s">
        <v>48</v>
      </c>
      <c r="B21" s="111" t="s">
        <v>97</v>
      </c>
    </row>
    <row r="22" spans="1:7" x14ac:dyDescent="0.35">
      <c r="A22" s="107" t="s">
        <v>50</v>
      </c>
      <c r="B22" s="111">
        <v>2088</v>
      </c>
    </row>
    <row r="23" spans="1:7" ht="14.65" customHeight="1" x14ac:dyDescent="0.35">
      <c r="A23" s="107" t="s">
        <v>116</v>
      </c>
      <c r="B23" s="111">
        <v>2498</v>
      </c>
    </row>
    <row r="24" spans="1:7" x14ac:dyDescent="0.35">
      <c r="A24" s="107" t="s">
        <v>85</v>
      </c>
      <c r="B24" s="111" t="s">
        <v>53</v>
      </c>
    </row>
    <row r="25" spans="1:7" x14ac:dyDescent="0.35">
      <c r="A25" s="107" t="s">
        <v>51</v>
      </c>
      <c r="B25" s="111" t="s">
        <v>98</v>
      </c>
    </row>
    <row r="26" spans="1:7" x14ac:dyDescent="0.35">
      <c r="A26" s="107" t="s">
        <v>103</v>
      </c>
      <c r="B26" s="111" t="s">
        <v>102</v>
      </c>
    </row>
    <row r="27" spans="1:7" x14ac:dyDescent="0.35">
      <c r="A27" s="107" t="s">
        <v>288</v>
      </c>
      <c r="B27" s="111" t="s">
        <v>292</v>
      </c>
      <c r="F27" s="40"/>
      <c r="G27" s="40"/>
    </row>
    <row r="28" spans="1:7" x14ac:dyDescent="0.35">
      <c r="A28" s="107" t="s">
        <v>289</v>
      </c>
      <c r="B28" s="111" t="s">
        <v>293</v>
      </c>
      <c r="E28" s="40"/>
    </row>
    <row r="29" spans="1:7" x14ac:dyDescent="0.35">
      <c r="A29" s="107" t="s">
        <v>104</v>
      </c>
      <c r="B29" s="111" t="str">
        <f>B6</f>
        <v>Навальный Алексей «ФБК»</v>
      </c>
    </row>
    <row r="30" spans="1:7" ht="15" thickBot="1" x14ac:dyDescent="0.4">
      <c r="A30" s="117" t="s">
        <v>49</v>
      </c>
      <c r="B30" s="118" t="s">
        <v>100</v>
      </c>
    </row>
    <row r="31" spans="1:7" ht="15" thickBot="1" x14ac:dyDescent="0.4">
      <c r="A31" s="40"/>
      <c r="B31" s="102"/>
    </row>
    <row r="32" spans="1:7" x14ac:dyDescent="0.35">
      <c r="A32" s="119" t="s">
        <v>299</v>
      </c>
      <c r="B32" s="123">
        <v>75</v>
      </c>
    </row>
    <row r="33" spans="1:2" x14ac:dyDescent="0.35">
      <c r="A33" s="107" t="s">
        <v>300</v>
      </c>
      <c r="B33" s="121">
        <v>550</v>
      </c>
    </row>
    <row r="34" spans="1:2" x14ac:dyDescent="0.35">
      <c r="A34" s="107" t="s">
        <v>297</v>
      </c>
      <c r="B34" s="121">
        <v>888880</v>
      </c>
    </row>
    <row r="35" spans="1:2" ht="15" thickBot="1" x14ac:dyDescent="0.4">
      <c r="A35" s="120" t="s">
        <v>298</v>
      </c>
      <c r="B35" s="122" t="s">
        <v>317</v>
      </c>
    </row>
  </sheetData>
  <phoneticPr fontId="3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123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55" t="s">
        <v>301</v>
      </c>
      <c r="B1" s="155"/>
      <c r="C1" s="155"/>
      <c r="D1" s="155"/>
      <c r="E1" s="155"/>
      <c r="F1" s="155"/>
      <c r="G1" s="155"/>
      <c r="H1" s="155"/>
      <c r="I1" s="155"/>
      <c r="J1" s="155"/>
    </row>
    <row r="2" spans="1:10" s="7" customFormat="1" ht="12.75" customHeight="1" x14ac:dyDescent="0.35">
      <c r="A2" s="155"/>
      <c r="B2" s="155"/>
      <c r="C2" s="155"/>
      <c r="D2" s="155"/>
      <c r="E2" s="155"/>
      <c r="F2" s="155"/>
      <c r="G2" s="155"/>
      <c r="H2" s="155"/>
      <c r="I2" s="155"/>
      <c r="J2" s="155"/>
    </row>
    <row r="3" spans="1:10" s="7" customFormat="1" ht="12.75" customHeight="1" x14ac:dyDescent="0.35">
      <c r="A3" s="155"/>
      <c r="B3" s="155"/>
      <c r="C3" s="155"/>
      <c r="D3" s="155"/>
      <c r="E3" s="155"/>
      <c r="F3" s="155"/>
      <c r="G3" s="155"/>
      <c r="H3" s="155"/>
      <c r="I3" s="155"/>
      <c r="J3" s="155"/>
    </row>
    <row r="4" spans="1:10" s="7" customFormat="1" ht="12.75" customHeight="1" x14ac:dyDescent="0.35">
      <c r="A4" s="156" t="s">
        <v>0</v>
      </c>
      <c r="B4" s="156"/>
      <c r="C4" s="156"/>
      <c r="D4" s="157" t="str">
        <f>LEFT(Дано!B2,3)&amp;"-"&amp;MONTH(H4)</f>
        <v>001-1</v>
      </c>
      <c r="F4" s="5"/>
      <c r="G4" s="2"/>
      <c r="H4" s="158">
        <f>Дано!B4</f>
        <v>43831</v>
      </c>
      <c r="I4" s="159"/>
      <c r="J4" s="159"/>
    </row>
    <row r="5" spans="1:10" s="7" customFormat="1" ht="12.75" customHeight="1" x14ac:dyDescent="0.35">
      <c r="A5" s="156"/>
      <c r="B5" s="156"/>
      <c r="C5" s="156"/>
      <c r="D5" s="157"/>
      <c r="E5" s="5"/>
      <c r="F5" s="5"/>
      <c r="G5" s="2"/>
      <c r="H5" s="159"/>
      <c r="I5" s="159"/>
      <c r="J5" s="159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46" t="s">
        <v>1</v>
      </c>
      <c r="B7" s="146"/>
      <c r="C7" s="148" t="str">
        <f>Дано!B6</f>
        <v>Навальный Алексей «ФБК»</v>
      </c>
      <c r="D7" s="148"/>
      <c r="E7" s="148"/>
      <c r="F7" s="148"/>
      <c r="G7" s="148"/>
      <c r="H7" s="148"/>
      <c r="I7" s="148"/>
      <c r="J7" s="148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46" t="s">
        <v>2</v>
      </c>
      <c r="B9" s="146"/>
      <c r="C9" s="148" t="str">
        <f>"Договор №"&amp;Дано!B2&amp;" от "&amp;TEXT(Дано!B4,"[$-ru-RU-x-genlower]ДД ММММ ГГГГ \г\.;@")</f>
        <v>Договор №001-01/20 от 01 января 2020 г.</v>
      </c>
      <c r="D9" s="148"/>
      <c r="E9" s="148"/>
      <c r="F9" s="148"/>
      <c r="G9" s="148"/>
      <c r="H9" s="148"/>
      <c r="I9" s="148"/>
      <c r="J9" s="148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46" t="s">
        <v>3</v>
      </c>
      <c r="B11" s="146"/>
      <c r="C11" s="149" t="s">
        <v>12</v>
      </c>
      <c r="D11" s="149"/>
      <c r="E11" s="149"/>
      <c r="F11" s="149"/>
      <c r="G11" s="149"/>
      <c r="H11" s="149"/>
      <c r="I11" s="149"/>
      <c r="J11" s="149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50" t="s">
        <v>4</v>
      </c>
      <c r="B13" s="152" t="s">
        <v>5</v>
      </c>
      <c r="C13" s="153" t="s">
        <v>6</v>
      </c>
      <c r="D13" s="153"/>
      <c r="E13" s="153"/>
      <c r="F13" s="153"/>
      <c r="G13" s="153" t="s">
        <v>10</v>
      </c>
      <c r="H13" s="153" t="s">
        <v>9</v>
      </c>
      <c r="I13" s="153" t="s">
        <v>8</v>
      </c>
      <c r="J13" s="125" t="s">
        <v>7</v>
      </c>
    </row>
    <row r="14" spans="1:10" s="7" customFormat="1" ht="12.75" customHeight="1" x14ac:dyDescent="0.35">
      <c r="A14" s="151"/>
      <c r="B14" s="130"/>
      <c r="C14" s="154"/>
      <c r="D14" s="154"/>
      <c r="E14" s="154"/>
      <c r="F14" s="154"/>
      <c r="G14" s="154"/>
      <c r="H14" s="154"/>
      <c r="I14" s="154"/>
      <c r="J14" s="126"/>
    </row>
    <row r="15" spans="1:10" s="7" customFormat="1" ht="12.75" customHeight="1" x14ac:dyDescent="0.35">
      <c r="A15" s="127">
        <v>1</v>
      </c>
      <c r="B15" s="160" t="s">
        <v>18</v>
      </c>
      <c r="C15" s="131" t="str">
        <f>"Экспертиза и оценка: "&amp;Дано!B16&amp;" "&amp;Дано!B17&amp;", "&amp;Дано!B18</f>
        <v>Экспертиза и оценка: Транспортное средство Subaru Outback, 08KG848ААА</v>
      </c>
      <c r="D15" s="132"/>
      <c r="E15" s="132"/>
      <c r="F15" s="133"/>
      <c r="G15" s="137" t="s">
        <v>278</v>
      </c>
      <c r="H15" s="137">
        <v>1</v>
      </c>
      <c r="I15" s="138">
        <f>Дано!B13</f>
        <v>2500</v>
      </c>
      <c r="J15" s="140">
        <f>I15*H15</f>
        <v>2500</v>
      </c>
    </row>
    <row r="16" spans="1:10" s="7" customFormat="1" ht="12.75" customHeight="1" x14ac:dyDescent="0.35">
      <c r="A16" s="128"/>
      <c r="B16" s="161"/>
      <c r="C16" s="134"/>
      <c r="D16" s="135"/>
      <c r="E16" s="135"/>
      <c r="F16" s="136"/>
      <c r="G16" s="130"/>
      <c r="H16" s="130"/>
      <c r="I16" s="139"/>
      <c r="J16" s="141"/>
    </row>
    <row r="17" spans="1:10" s="7" customFormat="1" ht="12.75" customHeight="1" thickBot="1" x14ac:dyDescent="0.4">
      <c r="A17" s="142" t="s">
        <v>279</v>
      </c>
      <c r="B17" s="143"/>
      <c r="C17" s="143"/>
      <c r="D17" s="143"/>
      <c r="E17" s="143"/>
      <c r="F17" s="143"/>
      <c r="G17" s="143"/>
      <c r="H17" s="143"/>
      <c r="I17" s="144"/>
      <c r="J17" s="10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45" t="s">
        <v>13</v>
      </c>
      <c r="B19" s="145"/>
      <c r="C19" s="145"/>
      <c r="D19" s="145"/>
      <c r="E19" s="145"/>
      <c r="F19" s="145"/>
      <c r="G19" s="145"/>
      <c r="H19" s="145"/>
      <c r="I19" s="145"/>
      <c r="J19" s="145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45" t="s">
        <v>14</v>
      </c>
      <c r="B21" s="145"/>
      <c r="C21" s="145"/>
      <c r="D21" s="145"/>
      <c r="E21" s="145"/>
      <c r="F21" s="145"/>
      <c r="G21" s="145"/>
      <c r="H21" s="145"/>
      <c r="I21" s="145"/>
      <c r="J21" s="145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46" t="s">
        <v>15</v>
      </c>
      <c r="B23" s="146"/>
      <c r="C23" s="147" t="str">
        <f>Дано!B14&amp;" сом, 00 тыйын"</f>
        <v>Две тысячи пятьсот сом, 00 тыйын</v>
      </c>
      <c r="D23" s="147"/>
      <c r="E23" s="147"/>
      <c r="F23" s="147"/>
      <c r="G23" s="147"/>
      <c r="H23" s="147"/>
      <c r="I23" s="147"/>
      <c r="J23" s="147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24" t="s">
        <v>17</v>
      </c>
      <c r="D26" s="124"/>
      <c r="E26" s="124"/>
      <c r="F26" s="124"/>
      <c r="G26" s="124"/>
      <c r="H26" s="124"/>
      <c r="I26" s="124"/>
      <c r="J26" s="124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81"/>
      <c r="C32" s="80"/>
      <c r="D32" s="80"/>
      <c r="E32" s="80"/>
      <c r="F32" s="80"/>
      <c r="G32" s="80"/>
      <c r="H32" s="80"/>
      <c r="I32" s="80"/>
      <c r="J32" s="80"/>
    </row>
    <row r="33" spans="1:10" s="7" customFormat="1" x14ac:dyDescent="0.35">
      <c r="B33" s="81"/>
      <c r="C33" s="80"/>
      <c r="D33" s="80"/>
      <c r="E33" s="80"/>
      <c r="F33" s="80"/>
      <c r="G33" s="80"/>
      <c r="H33" s="80"/>
      <c r="I33" s="80"/>
      <c r="J33" s="80"/>
    </row>
    <row r="34" spans="1:10" s="7" customFormat="1" x14ac:dyDescent="0.35">
      <c r="B34" s="81"/>
      <c r="C34" s="80"/>
      <c r="D34" s="80"/>
      <c r="E34" s="80"/>
      <c r="F34" s="80"/>
      <c r="G34" s="80"/>
      <c r="H34" s="80"/>
      <c r="I34" s="80"/>
      <c r="J34" s="80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B36" s="81"/>
      <c r="C36" s="80"/>
      <c r="D36" s="80"/>
      <c r="E36" s="80"/>
      <c r="F36" s="80"/>
      <c r="G36" s="80"/>
      <c r="H36" s="80"/>
      <c r="I36" s="80"/>
      <c r="J36" s="80"/>
    </row>
    <row r="37" spans="1:10" s="7" customFormat="1" x14ac:dyDescent="0.35">
      <c r="B37" s="2"/>
      <c r="C37" s="2"/>
      <c r="D37" s="2"/>
      <c r="E37" s="2"/>
      <c r="F37" s="2"/>
      <c r="G37" s="2"/>
      <c r="H37" s="2"/>
      <c r="I37" s="2"/>
      <c r="J37" s="2"/>
    </row>
    <row r="38" spans="1:10" s="7" customFormat="1" ht="12.75" customHeight="1" x14ac:dyDescent="0.35">
      <c r="A38" s="155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55"/>
      <c r="C38" s="155"/>
      <c r="D38" s="155"/>
      <c r="E38" s="155"/>
      <c r="F38" s="155"/>
      <c r="G38" s="155"/>
      <c r="H38" s="155"/>
      <c r="I38" s="155"/>
      <c r="J38" s="155"/>
    </row>
    <row r="39" spans="1:10" s="7" customFormat="1" ht="12.75" customHeight="1" x14ac:dyDescent="0.35">
      <c r="A39" s="155"/>
      <c r="B39" s="155"/>
      <c r="C39" s="155"/>
      <c r="D39" s="155"/>
      <c r="E39" s="155"/>
      <c r="F39" s="155"/>
      <c r="G39" s="155"/>
      <c r="H39" s="155"/>
      <c r="I39" s="155"/>
      <c r="J39" s="155"/>
    </row>
    <row r="40" spans="1:10" s="7" customFormat="1" ht="12.75" customHeight="1" x14ac:dyDescent="0.35">
      <c r="A40" s="155"/>
      <c r="B40" s="155"/>
      <c r="C40" s="155"/>
      <c r="D40" s="155"/>
      <c r="E40" s="155"/>
      <c r="F40" s="155"/>
      <c r="G40" s="155"/>
      <c r="H40" s="155"/>
      <c r="I40" s="155"/>
      <c r="J40" s="155"/>
    </row>
    <row r="41" spans="1:10" s="7" customFormat="1" ht="12.75" customHeight="1" x14ac:dyDescent="0.35">
      <c r="A41" s="156" t="s">
        <v>0</v>
      </c>
      <c r="B41" s="156"/>
      <c r="C41" s="156"/>
      <c r="D41" s="157" t="str">
        <f>D4</f>
        <v>001-1</v>
      </c>
      <c r="F41" s="5"/>
      <c r="G41" s="2"/>
      <c r="H41" s="158">
        <f>H4</f>
        <v>43831</v>
      </c>
      <c r="I41" s="159"/>
      <c r="J41" s="159"/>
    </row>
    <row r="42" spans="1:10" s="7" customFormat="1" ht="12.75" customHeight="1" x14ac:dyDescent="0.35">
      <c r="A42" s="156"/>
      <c r="B42" s="156"/>
      <c r="C42" s="156"/>
      <c r="D42" s="157"/>
      <c r="E42" s="5"/>
      <c r="F42" s="5"/>
      <c r="G42" s="2"/>
      <c r="H42" s="159"/>
      <c r="I42" s="159"/>
      <c r="J42" s="159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46" t="s">
        <v>1</v>
      </c>
      <c r="B44" s="146"/>
      <c r="C44" s="148" t="str">
        <f>C7</f>
        <v>Навальный Алексей «ФБК»</v>
      </c>
      <c r="D44" s="148"/>
      <c r="E44" s="148"/>
      <c r="F44" s="148"/>
      <c r="G44" s="148"/>
      <c r="H44" s="148"/>
      <c r="I44" s="148"/>
      <c r="J44" s="148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46" t="s">
        <v>2</v>
      </c>
      <c r="B46" s="146"/>
      <c r="C46" s="148" t="str">
        <f>C9</f>
        <v>Договор №001-01/20 от 01 января 2020 г.</v>
      </c>
      <c r="D46" s="148"/>
      <c r="E46" s="148"/>
      <c r="F46" s="148"/>
      <c r="G46" s="148"/>
      <c r="H46" s="148"/>
      <c r="I46" s="148"/>
      <c r="J46" s="148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46" t="s">
        <v>3</v>
      </c>
      <c r="B48" s="146"/>
      <c r="C48" s="149" t="str">
        <f>C11</f>
        <v>____________________________________</v>
      </c>
      <c r="D48" s="149"/>
      <c r="E48" s="149"/>
      <c r="F48" s="149"/>
      <c r="G48" s="149"/>
      <c r="H48" s="149"/>
      <c r="I48" s="149"/>
      <c r="J48" s="149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50" t="s">
        <v>4</v>
      </c>
      <c r="B50" s="152" t="s">
        <v>5</v>
      </c>
      <c r="C50" s="153" t="s">
        <v>6</v>
      </c>
      <c r="D50" s="153"/>
      <c r="E50" s="153"/>
      <c r="F50" s="153"/>
      <c r="G50" s="153" t="s">
        <v>10</v>
      </c>
      <c r="H50" s="153" t="s">
        <v>9</v>
      </c>
      <c r="I50" s="153" t="s">
        <v>8</v>
      </c>
      <c r="J50" s="125" t="s">
        <v>7</v>
      </c>
    </row>
    <row r="51" spans="1:10" s="7" customFormat="1" ht="12.75" customHeight="1" x14ac:dyDescent="0.35">
      <c r="A51" s="151"/>
      <c r="B51" s="130"/>
      <c r="C51" s="154"/>
      <c r="D51" s="154"/>
      <c r="E51" s="154"/>
      <c r="F51" s="154"/>
      <c r="G51" s="154"/>
      <c r="H51" s="154"/>
      <c r="I51" s="154"/>
      <c r="J51" s="126"/>
    </row>
    <row r="52" spans="1:10" s="7" customFormat="1" ht="12.75" customHeight="1" x14ac:dyDescent="0.35">
      <c r="A52" s="127">
        <v>1</v>
      </c>
      <c r="B52" s="129" t="str">
        <f>B15</f>
        <v>00001</v>
      </c>
      <c r="C52" s="131" t="str">
        <f>C15</f>
        <v>Экспертиза и оценка: Транспортное средство Subaru Outback, 08KG848ААА</v>
      </c>
      <c r="D52" s="132"/>
      <c r="E52" s="132"/>
      <c r="F52" s="133"/>
      <c r="G52" s="137" t="str">
        <f>G15</f>
        <v>шт.</v>
      </c>
      <c r="H52" s="137">
        <f>H15</f>
        <v>1</v>
      </c>
      <c r="I52" s="138">
        <f>I15</f>
        <v>2500</v>
      </c>
      <c r="J52" s="140">
        <f>I52*H52</f>
        <v>2500</v>
      </c>
    </row>
    <row r="53" spans="1:10" s="7" customFormat="1" ht="12.75" customHeight="1" x14ac:dyDescent="0.35">
      <c r="A53" s="128"/>
      <c r="B53" s="130"/>
      <c r="C53" s="134"/>
      <c r="D53" s="135"/>
      <c r="E53" s="135"/>
      <c r="F53" s="136"/>
      <c r="G53" s="130"/>
      <c r="H53" s="130"/>
      <c r="I53" s="139"/>
      <c r="J53" s="141"/>
    </row>
    <row r="54" spans="1:10" s="7" customFormat="1" ht="12.75" customHeight="1" thickBot="1" x14ac:dyDescent="0.4">
      <c r="A54" s="142" t="s">
        <v>279</v>
      </c>
      <c r="B54" s="143"/>
      <c r="C54" s="143"/>
      <c r="D54" s="143"/>
      <c r="E54" s="143"/>
      <c r="F54" s="143"/>
      <c r="G54" s="143"/>
      <c r="H54" s="143"/>
      <c r="I54" s="144"/>
      <c r="J54" s="10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45" t="s">
        <v>13</v>
      </c>
      <c r="B56" s="145"/>
      <c r="C56" s="145"/>
      <c r="D56" s="145"/>
      <c r="E56" s="145"/>
      <c r="F56" s="145"/>
      <c r="G56" s="145"/>
      <c r="H56" s="145"/>
      <c r="I56" s="145"/>
      <c r="J56" s="145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45" t="s">
        <v>14</v>
      </c>
      <c r="B58" s="145"/>
      <c r="C58" s="145"/>
      <c r="D58" s="145"/>
      <c r="E58" s="145"/>
      <c r="F58" s="145"/>
      <c r="G58" s="145"/>
      <c r="H58" s="145"/>
      <c r="I58" s="145"/>
      <c r="J58" s="145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46" t="s">
        <v>15</v>
      </c>
      <c r="B60" s="146"/>
      <c r="C60" s="147" t="str">
        <f>C23</f>
        <v>Две тысячи пятьсот сом, 00 тыйын</v>
      </c>
      <c r="D60" s="147"/>
      <c r="E60" s="147"/>
      <c r="F60" s="147"/>
      <c r="G60" s="147"/>
      <c r="H60" s="147"/>
      <c r="I60" s="147"/>
      <c r="J60" s="147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24" t="s">
        <v>17</v>
      </c>
      <c r="D63" s="124"/>
      <c r="E63" s="124"/>
      <c r="F63" s="124"/>
      <c r="G63" s="124"/>
      <c r="H63" s="124"/>
      <c r="I63" s="124"/>
      <c r="J63" s="124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1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1:10" s="7" customFormat="1" x14ac:dyDescent="0.35">
      <c r="B66" s="2"/>
      <c r="C66" s="2"/>
      <c r="D66" s="2"/>
      <c r="E66" s="2"/>
      <c r="F66" s="2"/>
      <c r="G66" s="2"/>
      <c r="H66" s="2"/>
      <c r="I66" s="2"/>
      <c r="J66" s="2"/>
    </row>
    <row r="67" spans="1:10" s="7" customFormat="1" x14ac:dyDescent="0.35">
      <c r="B67" s="2"/>
      <c r="C67" s="2"/>
      <c r="D67" s="2"/>
      <c r="E67" s="2"/>
      <c r="F67" s="2"/>
      <c r="G67" s="2"/>
      <c r="H67" s="2"/>
      <c r="I67" s="2"/>
      <c r="J67" s="2"/>
    </row>
    <row r="68" spans="1:10" s="7" customFormat="1" x14ac:dyDescent="0.35">
      <c r="A68" s="3"/>
      <c r="B68" s="3"/>
      <c r="C68" s="3"/>
      <c r="D68" s="3"/>
      <c r="E68" s="3"/>
      <c r="F68" s="3"/>
      <c r="G68" s="3"/>
      <c r="H68" s="3"/>
      <c r="I68" s="3"/>
      <c r="J68" s="3"/>
    </row>
    <row r="69" spans="1:10" s="7" customFormat="1" x14ac:dyDescent="0.35">
      <c r="A69" s="3"/>
      <c r="B69" s="3"/>
      <c r="C69" s="3"/>
      <c r="D69" s="3"/>
      <c r="E69" s="3"/>
      <c r="F69" s="3"/>
      <c r="G69" s="3"/>
      <c r="H69" s="3"/>
      <c r="I69" s="3"/>
      <c r="J69" s="3"/>
    </row>
    <row r="70" spans="1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1:10" s="7" customFormat="1" x14ac:dyDescent="0.35">
      <c r="B71" s="8"/>
      <c r="C71" s="2"/>
      <c r="D71" s="2"/>
      <c r="E71" s="2"/>
      <c r="F71" s="2"/>
      <c r="G71" s="2"/>
      <c r="H71" s="2"/>
      <c r="I71" s="2"/>
      <c r="J71" s="2"/>
    </row>
    <row r="72" spans="1:10" s="7" customFormat="1" x14ac:dyDescent="0.35">
      <c r="B72" s="8"/>
      <c r="C72" s="2"/>
      <c r="D72" s="2"/>
      <c r="E72" s="2"/>
      <c r="F72" s="2"/>
      <c r="G72" s="2"/>
      <c r="H72" s="2"/>
      <c r="I72" s="2"/>
      <c r="J72" s="2"/>
    </row>
    <row r="73" spans="1:10" s="7" customFormat="1" x14ac:dyDescent="0.35">
      <c r="B73" s="8"/>
      <c r="C73" s="2"/>
      <c r="D73" s="2"/>
      <c r="E73" s="2"/>
      <c r="F73" s="2"/>
      <c r="G73" s="2"/>
      <c r="H73" s="2"/>
      <c r="I73" s="2"/>
      <c r="J73" s="2"/>
    </row>
    <row r="74" spans="1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1:10" s="7" customFormat="1" x14ac:dyDescent="0.35">
      <c r="B75" s="2"/>
      <c r="C75" s="2"/>
      <c r="D75" s="2"/>
      <c r="E75" s="2"/>
      <c r="F75" s="2"/>
      <c r="G75" s="2"/>
      <c r="H75" s="2"/>
      <c r="I75" s="2"/>
      <c r="J75" s="2"/>
    </row>
    <row r="76" spans="1:10" s="7" customFormat="1" x14ac:dyDescent="0.35">
      <c r="B76" s="2"/>
      <c r="C76" s="2"/>
      <c r="D76" s="2"/>
      <c r="E76" s="2"/>
      <c r="F76" s="2"/>
      <c r="G76" s="2"/>
      <c r="H76" s="2"/>
      <c r="I76" s="2"/>
      <c r="J76" s="2"/>
    </row>
    <row r="77" spans="1:10" s="7" customFormat="1" x14ac:dyDescent="0.35">
      <c r="B77" s="2"/>
      <c r="C77" s="2"/>
      <c r="D77" s="2"/>
      <c r="E77" s="2"/>
      <c r="F77" s="2"/>
      <c r="G77" s="2"/>
      <c r="H77" s="2"/>
      <c r="I77" s="2"/>
      <c r="J77" s="2"/>
    </row>
    <row r="78" spans="1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1:10" s="7" customFormat="1" x14ac:dyDescent="0.35">
      <c r="B79" s="8"/>
      <c r="C79" s="2"/>
      <c r="D79" s="2"/>
      <c r="E79" s="2"/>
      <c r="F79" s="2"/>
      <c r="G79" s="2"/>
      <c r="H79" s="2"/>
      <c r="I79" s="2"/>
      <c r="J79" s="2"/>
    </row>
    <row r="80" spans="1:10" s="7" customFormat="1" x14ac:dyDescent="0.35">
      <c r="B80" s="8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8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8"/>
      <c r="C82" s="2"/>
      <c r="D82" s="2"/>
      <c r="E82" s="2"/>
      <c r="F82" s="2"/>
      <c r="G82" s="2"/>
      <c r="H82" s="2"/>
      <c r="I82" s="2"/>
      <c r="J82" s="2"/>
    </row>
    <row r="83" spans="1:10" s="7" customFormat="1" x14ac:dyDescent="0.35">
      <c r="B83" s="2"/>
      <c r="C83" s="2"/>
      <c r="D83" s="2"/>
      <c r="E83" s="2"/>
      <c r="F83" s="2"/>
      <c r="G83" s="2"/>
      <c r="H83" s="2"/>
      <c r="I83" s="2"/>
      <c r="J83" s="2"/>
    </row>
    <row r="84" spans="1:10" s="7" customFormat="1" x14ac:dyDescent="0.35">
      <c r="B84" s="2"/>
      <c r="C84" s="2"/>
      <c r="D84" s="2"/>
      <c r="E84" s="2"/>
      <c r="F84" s="2"/>
      <c r="G84" s="2"/>
      <c r="H84" s="2"/>
      <c r="I84" s="2"/>
      <c r="J84" s="2"/>
    </row>
    <row r="85" spans="1:10" s="7" customFormat="1" x14ac:dyDescent="0.35">
      <c r="B85" s="2"/>
      <c r="C85" s="2"/>
      <c r="D85" s="2"/>
      <c r="E85" s="2"/>
      <c r="F85" s="2"/>
      <c r="G85" s="2"/>
      <c r="H85" s="2"/>
      <c r="I85" s="2"/>
      <c r="J85" s="2"/>
    </row>
    <row r="86" spans="1:10" s="7" customFormat="1" x14ac:dyDescent="0.35">
      <c r="B86" s="3"/>
      <c r="C86" s="3"/>
      <c r="D86" s="3"/>
      <c r="E86" s="3"/>
      <c r="F86" s="3"/>
      <c r="G86" s="3"/>
      <c r="H86" s="3"/>
      <c r="I86" s="3"/>
      <c r="J86" s="3"/>
    </row>
    <row r="87" spans="1:10" s="9" customFormat="1" ht="6.65" customHeight="1" x14ac:dyDescent="0.35">
      <c r="A87" s="3"/>
      <c r="B87" s="3"/>
      <c r="C87" s="3"/>
      <c r="D87" s="3"/>
      <c r="E87" s="3"/>
      <c r="F87" s="3"/>
      <c r="G87" s="3"/>
      <c r="H87" s="3"/>
      <c r="I87" s="3"/>
      <c r="J87" s="3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  <row r="120" spans="2:10" x14ac:dyDescent="0.3">
      <c r="B120" s="2"/>
      <c r="C120" s="2"/>
      <c r="D120" s="2"/>
      <c r="E120" s="2"/>
      <c r="F120" s="2"/>
      <c r="G120" s="2"/>
      <c r="H120" s="2"/>
      <c r="I120" s="2"/>
      <c r="J120" s="2"/>
    </row>
    <row r="121" spans="2:10" x14ac:dyDescent="0.3">
      <c r="B121" s="2"/>
      <c r="C121" s="2"/>
      <c r="D121" s="2"/>
      <c r="E121" s="2"/>
      <c r="F121" s="2"/>
      <c r="G121" s="2"/>
      <c r="H121" s="2"/>
      <c r="I121" s="2"/>
      <c r="J121" s="2"/>
    </row>
    <row r="122" spans="2:10" x14ac:dyDescent="0.3">
      <c r="B122" s="2"/>
      <c r="C122" s="2"/>
      <c r="D122" s="2"/>
      <c r="E122" s="2"/>
      <c r="F122" s="2"/>
      <c r="G122" s="2"/>
      <c r="H122" s="2"/>
      <c r="I122" s="2"/>
      <c r="J122" s="2"/>
    </row>
    <row r="123" spans="2:10" x14ac:dyDescent="0.3">
      <c r="B123" s="2"/>
      <c r="C123" s="2"/>
      <c r="D123" s="2"/>
      <c r="E123" s="2"/>
      <c r="F123" s="2"/>
      <c r="G123" s="2"/>
      <c r="H123" s="2"/>
      <c r="I123" s="2"/>
      <c r="J123" s="2"/>
    </row>
  </sheetData>
  <mergeCells count="60">
    <mergeCell ref="A1:J3"/>
    <mergeCell ref="A4:C5"/>
    <mergeCell ref="D4:D5"/>
    <mergeCell ref="A13:A14"/>
    <mergeCell ref="A7:B7"/>
    <mergeCell ref="A9:B9"/>
    <mergeCell ref="A11:B11"/>
    <mergeCell ref="B13:B14"/>
    <mergeCell ref="H4:J5"/>
    <mergeCell ref="A17:I17"/>
    <mergeCell ref="C9:J9"/>
    <mergeCell ref="C7:J7"/>
    <mergeCell ref="C11:J11"/>
    <mergeCell ref="I15:I16"/>
    <mergeCell ref="J15:J16"/>
    <mergeCell ref="G15:G16"/>
    <mergeCell ref="H15:H16"/>
    <mergeCell ref="J13:J14"/>
    <mergeCell ref="I13:I14"/>
    <mergeCell ref="H13:H14"/>
    <mergeCell ref="G13:G14"/>
    <mergeCell ref="A15:A16"/>
    <mergeCell ref="C13:F14"/>
    <mergeCell ref="B15:B16"/>
    <mergeCell ref="C15:F16"/>
    <mergeCell ref="C26:J26"/>
    <mergeCell ref="A19:J19"/>
    <mergeCell ref="A21:J21"/>
    <mergeCell ref="A23:B23"/>
    <mergeCell ref="C23:J23"/>
    <mergeCell ref="A38:J40"/>
    <mergeCell ref="A41:C42"/>
    <mergeCell ref="D41:D42"/>
    <mergeCell ref="H41:J42"/>
    <mergeCell ref="A44:B44"/>
    <mergeCell ref="C44:J44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J119"/>
  <sheetViews>
    <sheetView view="pageBreakPreview" zoomScaleNormal="100" zoomScaleSheetLayoutView="100" workbookViewId="0">
      <selection activeCell="H4" sqref="H4:J5"/>
    </sheetView>
  </sheetViews>
  <sheetFormatPr defaultColWidth="9.26953125" defaultRowHeight="13" x14ac:dyDescent="0.3"/>
  <cols>
    <col min="1" max="1" width="3.26953125" style="1" customWidth="1"/>
    <col min="2" max="10" width="10.26953125" style="1" customWidth="1"/>
    <col min="11" max="16384" width="9.26953125" style="1"/>
  </cols>
  <sheetData>
    <row r="1" spans="1:10" s="7" customFormat="1" ht="12.75" customHeight="1" x14ac:dyDescent="0.35">
      <c r="A1" s="155" t="str">
        <f>счёт!A1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1" s="155"/>
      <c r="C1" s="155"/>
      <c r="D1" s="155"/>
      <c r="E1" s="155"/>
      <c r="F1" s="155"/>
      <c r="G1" s="155"/>
      <c r="H1" s="155"/>
      <c r="I1" s="155"/>
      <c r="J1" s="155"/>
    </row>
    <row r="2" spans="1:10" s="7" customFormat="1" ht="12.75" customHeight="1" x14ac:dyDescent="0.35">
      <c r="A2" s="155"/>
      <c r="B2" s="155"/>
      <c r="C2" s="155"/>
      <c r="D2" s="155"/>
      <c r="E2" s="155"/>
      <c r="F2" s="155"/>
      <c r="G2" s="155"/>
      <c r="H2" s="155"/>
      <c r="I2" s="155"/>
      <c r="J2" s="155"/>
    </row>
    <row r="3" spans="1:10" s="7" customFormat="1" ht="12.75" customHeight="1" x14ac:dyDescent="0.35">
      <c r="A3" s="155"/>
      <c r="B3" s="155"/>
      <c r="C3" s="155"/>
      <c r="D3" s="155"/>
      <c r="E3" s="155"/>
      <c r="F3" s="155"/>
      <c r="G3" s="155"/>
      <c r="H3" s="155"/>
      <c r="I3" s="155"/>
      <c r="J3" s="155"/>
    </row>
    <row r="4" spans="1:10" s="7" customFormat="1" ht="12.75" customHeight="1" x14ac:dyDescent="0.35">
      <c r="A4" s="156" t="s">
        <v>19</v>
      </c>
      <c r="B4" s="156"/>
      <c r="C4" s="156"/>
      <c r="D4" s="173" t="str">
        <f>счёт!D4</f>
        <v>001-1</v>
      </c>
      <c r="F4" s="5"/>
      <c r="G4" s="2"/>
      <c r="H4" s="158">
        <f ca="1">TODAY()</f>
        <v>44011</v>
      </c>
      <c r="I4" s="159"/>
      <c r="J4" s="159"/>
    </row>
    <row r="5" spans="1:10" s="7" customFormat="1" ht="12.75" customHeight="1" x14ac:dyDescent="0.35">
      <c r="A5" s="156"/>
      <c r="B5" s="156"/>
      <c r="C5" s="156"/>
      <c r="D5" s="173"/>
      <c r="E5" s="5"/>
      <c r="F5" s="5"/>
      <c r="G5" s="2"/>
      <c r="H5" s="159"/>
      <c r="I5" s="159"/>
      <c r="J5" s="159"/>
    </row>
    <row r="6" spans="1:10" s="7" customFormat="1" ht="6.4" customHeight="1" x14ac:dyDescent="0.35">
      <c r="B6" s="4"/>
      <c r="C6" s="2"/>
      <c r="D6" s="2"/>
      <c r="E6" s="2"/>
      <c r="F6" s="2"/>
      <c r="G6" s="2"/>
      <c r="H6" s="2"/>
      <c r="I6" s="2"/>
      <c r="J6" s="2"/>
    </row>
    <row r="7" spans="1:10" s="7" customFormat="1" ht="12.75" customHeight="1" x14ac:dyDescent="0.35">
      <c r="A7" s="146" t="s">
        <v>1</v>
      </c>
      <c r="B7" s="146"/>
      <c r="C7" s="148" t="str">
        <f>счёт!C7:J7</f>
        <v>Навальный Алексей «ФБК»</v>
      </c>
      <c r="D7" s="148"/>
      <c r="E7" s="148"/>
      <c r="F7" s="148"/>
      <c r="G7" s="148"/>
      <c r="H7" s="148"/>
      <c r="I7" s="148"/>
      <c r="J7" s="148"/>
    </row>
    <row r="8" spans="1:10" s="7" customFormat="1" ht="6.4" customHeight="1" x14ac:dyDescent="0.35">
      <c r="B8" s="4"/>
      <c r="C8" s="6"/>
      <c r="D8" s="6"/>
      <c r="E8" s="6"/>
      <c r="F8" s="6"/>
      <c r="G8" s="2"/>
      <c r="H8" s="2"/>
      <c r="I8" s="2"/>
      <c r="J8" s="2"/>
    </row>
    <row r="9" spans="1:10" s="7" customFormat="1" ht="12.75" customHeight="1" x14ac:dyDescent="0.35">
      <c r="A9" s="146" t="s">
        <v>2</v>
      </c>
      <c r="B9" s="146"/>
      <c r="C9" s="148" t="str">
        <f>счёт!C9:J9</f>
        <v>Договор №001-01/20 от 01 января 2020 г.</v>
      </c>
      <c r="D9" s="148"/>
      <c r="E9" s="148"/>
      <c r="F9" s="148"/>
      <c r="G9" s="148"/>
      <c r="H9" s="148"/>
      <c r="I9" s="148"/>
      <c r="J9" s="148"/>
    </row>
    <row r="10" spans="1:10" s="7" customFormat="1" ht="6.4" customHeight="1" x14ac:dyDescent="0.35">
      <c r="B10" s="4"/>
      <c r="C10" s="6"/>
      <c r="D10" s="6"/>
      <c r="E10" s="6"/>
      <c r="F10" s="6"/>
      <c r="G10" s="2"/>
      <c r="H10" s="2"/>
      <c r="I10" s="2"/>
      <c r="J10" s="2"/>
    </row>
    <row r="11" spans="1:10" s="7" customFormat="1" ht="12.75" customHeight="1" x14ac:dyDescent="0.35">
      <c r="A11" s="146" t="s">
        <v>3</v>
      </c>
      <c r="B11" s="146"/>
      <c r="C11" s="149" t="s">
        <v>12</v>
      </c>
      <c r="D11" s="149"/>
      <c r="E11" s="149"/>
      <c r="F11" s="149"/>
      <c r="G11" s="149"/>
      <c r="H11" s="149"/>
      <c r="I11" s="149"/>
      <c r="J11" s="149"/>
    </row>
    <row r="12" spans="1:10" s="7" customFormat="1" ht="12.75" customHeight="1" thickBot="1" x14ac:dyDescent="0.4">
      <c r="B12" s="2"/>
      <c r="C12" s="2"/>
      <c r="D12" s="2"/>
      <c r="E12" s="2"/>
      <c r="F12" s="2"/>
      <c r="G12" s="2"/>
      <c r="H12" s="2"/>
      <c r="I12" s="2"/>
      <c r="J12" s="2"/>
    </row>
    <row r="13" spans="1:10" s="7" customFormat="1" ht="12.75" customHeight="1" x14ac:dyDescent="0.35">
      <c r="A13" s="167" t="s">
        <v>4</v>
      </c>
      <c r="B13" s="169" t="s">
        <v>5</v>
      </c>
      <c r="C13" s="171" t="s">
        <v>6</v>
      </c>
      <c r="D13" s="171"/>
      <c r="E13" s="171"/>
      <c r="F13" s="171"/>
      <c r="G13" s="171" t="s">
        <v>10</v>
      </c>
      <c r="H13" s="171" t="s">
        <v>9</v>
      </c>
      <c r="I13" s="171" t="s">
        <v>8</v>
      </c>
      <c r="J13" s="162" t="s">
        <v>7</v>
      </c>
    </row>
    <row r="14" spans="1:10" s="7" customFormat="1" ht="12.75" customHeight="1" x14ac:dyDescent="0.35">
      <c r="A14" s="168"/>
      <c r="B14" s="170"/>
      <c r="C14" s="172"/>
      <c r="D14" s="172"/>
      <c r="E14" s="172"/>
      <c r="F14" s="172"/>
      <c r="G14" s="172"/>
      <c r="H14" s="172"/>
      <c r="I14" s="172"/>
      <c r="J14" s="163"/>
    </row>
    <row r="15" spans="1:10" s="7" customFormat="1" ht="12.75" customHeight="1" x14ac:dyDescent="0.35">
      <c r="A15" s="127">
        <v>1</v>
      </c>
      <c r="B15" s="160" t="str">
        <f>счёт!B15:B16</f>
        <v>00001</v>
      </c>
      <c r="C15" s="131" t="str">
        <f>счёт!C15:F16</f>
        <v>Экспертиза и оценка: Транспортное средство Subaru Outback, 08KG848ААА</v>
      </c>
      <c r="D15" s="132"/>
      <c r="E15" s="132"/>
      <c r="F15" s="133"/>
      <c r="G15" s="137" t="s">
        <v>278</v>
      </c>
      <c r="H15" s="137">
        <f>счёт!H15:H16</f>
        <v>1</v>
      </c>
      <c r="I15" s="138">
        <f>счёт!I15:I16</f>
        <v>2500</v>
      </c>
      <c r="J15" s="140">
        <f>I15*H15</f>
        <v>2500</v>
      </c>
    </row>
    <row r="16" spans="1:10" s="7" customFormat="1" ht="12.75" customHeight="1" x14ac:dyDescent="0.35">
      <c r="A16" s="128"/>
      <c r="B16" s="161"/>
      <c r="C16" s="134"/>
      <c r="D16" s="135"/>
      <c r="E16" s="135"/>
      <c r="F16" s="136"/>
      <c r="G16" s="130"/>
      <c r="H16" s="130"/>
      <c r="I16" s="139"/>
      <c r="J16" s="141"/>
    </row>
    <row r="17" spans="1:10" s="7" customFormat="1" ht="12.75" customHeight="1" thickBot="1" x14ac:dyDescent="0.4">
      <c r="A17" s="164" t="s">
        <v>279</v>
      </c>
      <c r="B17" s="165"/>
      <c r="C17" s="165"/>
      <c r="D17" s="165"/>
      <c r="E17" s="165"/>
      <c r="F17" s="165"/>
      <c r="G17" s="165"/>
      <c r="H17" s="165"/>
      <c r="I17" s="166"/>
      <c r="J17" s="13">
        <f>J15</f>
        <v>2500</v>
      </c>
    </row>
    <row r="18" spans="1:10" s="7" customFormat="1" ht="6.4" customHeight="1" x14ac:dyDescent="0.35">
      <c r="B18" s="4"/>
      <c r="C18" s="6"/>
      <c r="D18" s="6"/>
      <c r="E18" s="6"/>
      <c r="F18" s="6"/>
      <c r="G18" s="2"/>
      <c r="H18" s="2"/>
      <c r="I18" s="2"/>
      <c r="J18" s="2"/>
    </row>
    <row r="19" spans="1:10" s="7" customFormat="1" ht="12.75" customHeight="1" x14ac:dyDescent="0.35">
      <c r="A19" s="145" t="s">
        <v>13</v>
      </c>
      <c r="B19" s="145"/>
      <c r="C19" s="145"/>
      <c r="D19" s="145"/>
      <c r="E19" s="145"/>
      <c r="F19" s="145"/>
      <c r="G19" s="145"/>
      <c r="H19" s="145"/>
      <c r="I19" s="145"/>
      <c r="J19" s="145"/>
    </row>
    <row r="20" spans="1:10" s="7" customFormat="1" ht="6.4" customHeight="1" x14ac:dyDescent="0.35">
      <c r="B20" s="4"/>
      <c r="C20" s="6"/>
      <c r="D20" s="6"/>
      <c r="E20" s="6"/>
      <c r="F20" s="6"/>
      <c r="G20" s="2"/>
      <c r="H20" s="2"/>
      <c r="I20" s="2"/>
      <c r="J20" s="2"/>
    </row>
    <row r="21" spans="1:10" s="7" customFormat="1" ht="12.75" customHeight="1" x14ac:dyDescent="0.35">
      <c r="A21" s="145" t="s">
        <v>14</v>
      </c>
      <c r="B21" s="145"/>
      <c r="C21" s="145"/>
      <c r="D21" s="145"/>
      <c r="E21" s="145"/>
      <c r="F21" s="145"/>
      <c r="G21" s="145"/>
      <c r="H21" s="145"/>
      <c r="I21" s="145"/>
      <c r="J21" s="145"/>
    </row>
    <row r="22" spans="1:10" s="7" customFormat="1" ht="12.75" customHeight="1" x14ac:dyDescent="0.35">
      <c r="B22" s="2"/>
      <c r="C22" s="2"/>
      <c r="D22" s="2"/>
      <c r="E22" s="2"/>
      <c r="F22" s="2"/>
      <c r="G22" s="2"/>
      <c r="H22" s="2"/>
      <c r="I22" s="2"/>
      <c r="J22" s="2"/>
    </row>
    <row r="23" spans="1:10" s="7" customFormat="1" x14ac:dyDescent="0.35">
      <c r="A23" s="146" t="s">
        <v>15</v>
      </c>
      <c r="B23" s="146"/>
      <c r="C23" s="147" t="str">
        <f>счёт!C23:J23</f>
        <v>Две тысячи пятьсот сом, 00 тыйын</v>
      </c>
      <c r="D23" s="147"/>
      <c r="E23" s="147"/>
      <c r="F23" s="147"/>
      <c r="G23" s="147"/>
      <c r="H23" s="147"/>
      <c r="I23" s="147"/>
      <c r="J23" s="147"/>
    </row>
    <row r="24" spans="1:10" s="7" customFormat="1" x14ac:dyDescent="0.35">
      <c r="B24" s="2"/>
      <c r="C24" s="2"/>
      <c r="D24" s="2"/>
      <c r="E24" s="2"/>
      <c r="F24" s="2"/>
      <c r="G24" s="2"/>
      <c r="H24" s="2"/>
      <c r="I24" s="2"/>
      <c r="J24" s="2"/>
    </row>
    <row r="25" spans="1:10" s="7" customFormat="1" x14ac:dyDescent="0.35">
      <c r="B25" s="2"/>
      <c r="C25" s="2"/>
      <c r="D25" s="2"/>
      <c r="E25" s="2"/>
      <c r="F25" s="2"/>
      <c r="G25" s="2"/>
      <c r="H25" s="2"/>
      <c r="I25" s="2"/>
      <c r="J25" s="2"/>
    </row>
    <row r="26" spans="1:10" s="7" customFormat="1" x14ac:dyDescent="0.35">
      <c r="B26" s="2"/>
      <c r="C26" s="124" t="s">
        <v>17</v>
      </c>
      <c r="D26" s="124"/>
      <c r="E26" s="124"/>
      <c r="F26" s="124"/>
      <c r="G26" s="124"/>
      <c r="H26" s="124"/>
      <c r="I26" s="124"/>
      <c r="J26" s="124"/>
    </row>
    <row r="27" spans="1:10" s="7" customFormat="1" x14ac:dyDescent="0.35">
      <c r="B27" s="2"/>
      <c r="C27" s="2"/>
      <c r="D27" s="2"/>
      <c r="E27" s="2"/>
      <c r="F27" s="2"/>
      <c r="G27" s="2"/>
      <c r="H27" s="2"/>
      <c r="I27" s="2"/>
      <c r="J27" s="2"/>
    </row>
    <row r="28" spans="1:10" s="7" customFormat="1" x14ac:dyDescent="0.35">
      <c r="B28" s="8" t="s">
        <v>16</v>
      </c>
      <c r="C28" s="2"/>
      <c r="D28" s="2"/>
      <c r="E28" s="2"/>
      <c r="F28" s="2"/>
      <c r="G28" s="2"/>
      <c r="H28" s="2"/>
      <c r="I28" s="2"/>
      <c r="J28" s="2"/>
    </row>
    <row r="29" spans="1:10" s="7" customFormat="1" x14ac:dyDescent="0.35">
      <c r="B29" s="4"/>
      <c r="C29" s="6"/>
      <c r="D29" s="6"/>
      <c r="E29" s="6"/>
      <c r="F29" s="6"/>
      <c r="G29" s="2"/>
      <c r="H29" s="2"/>
      <c r="I29" s="2"/>
      <c r="J29" s="2"/>
    </row>
    <row r="30" spans="1:10" s="7" customFormat="1" x14ac:dyDescent="0.35">
      <c r="B30" s="8"/>
      <c r="C30" s="2"/>
      <c r="D30" s="2"/>
      <c r="E30" s="2"/>
      <c r="F30" s="2"/>
      <c r="G30" s="2"/>
      <c r="H30" s="2"/>
      <c r="I30" s="2"/>
      <c r="J30" s="2"/>
    </row>
    <row r="31" spans="1:10" s="7" customFormat="1" x14ac:dyDescent="0.35">
      <c r="B31" s="8"/>
      <c r="C31" s="2"/>
      <c r="D31" s="2"/>
      <c r="E31" s="2"/>
      <c r="F31" s="2"/>
      <c r="G31" s="2"/>
      <c r="H31" s="2"/>
      <c r="I31" s="2"/>
      <c r="J31" s="2"/>
    </row>
    <row r="32" spans="1:10" s="7" customFormat="1" x14ac:dyDescent="0.35">
      <c r="B32" s="2"/>
      <c r="C32" s="2"/>
      <c r="D32" s="2"/>
      <c r="E32" s="2"/>
      <c r="F32" s="2"/>
      <c r="G32" s="2"/>
      <c r="H32" s="2"/>
      <c r="I32" s="2"/>
      <c r="J32" s="2"/>
    </row>
    <row r="33" spans="1:10" s="7" customFormat="1" x14ac:dyDescent="0.35">
      <c r="B33" s="2"/>
      <c r="C33" s="2"/>
      <c r="D33" s="2"/>
      <c r="E33" s="2"/>
      <c r="F33" s="2"/>
      <c r="G33" s="2"/>
      <c r="H33" s="2"/>
      <c r="I33" s="2"/>
      <c r="J33" s="2"/>
    </row>
    <row r="34" spans="1:10" s="7" customFormat="1" x14ac:dyDescent="0.35">
      <c r="B34" s="2"/>
      <c r="C34" s="2"/>
      <c r="D34" s="2"/>
      <c r="E34" s="2"/>
      <c r="F34" s="2"/>
      <c r="G34" s="2"/>
      <c r="H34" s="2"/>
      <c r="I34" s="2"/>
      <c r="J34" s="2"/>
    </row>
    <row r="35" spans="1:10" s="7" customFormat="1" x14ac:dyDescent="0.35">
      <c r="A35" s="11"/>
      <c r="B35" s="12"/>
      <c r="C35" s="12"/>
      <c r="D35" s="12"/>
      <c r="E35" s="12"/>
      <c r="F35" s="12"/>
      <c r="G35" s="12"/>
      <c r="H35" s="12"/>
      <c r="I35" s="12"/>
      <c r="J35" s="12"/>
    </row>
    <row r="36" spans="1:10" s="7" customFormat="1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s="7" customFormat="1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s="7" customFormat="1" ht="12.75" customHeight="1" x14ac:dyDescent="0.35">
      <c r="A38" s="155" t="str">
        <f>A1</f>
        <v>ОсОО "Первый Автосервис", г. Бишкек, ул. Атбашинская, 2/1; ИНН 01501201910391;
Р/с 1091805549830135; БЦФ ОАО «Оптима Банк»; БИК 109018; УГНС по Первомайскому району (004);
Тел. +996 (550) 560 220, +996 (706) 560 220, +996 (776) 560 220</v>
      </c>
      <c r="B38" s="155"/>
      <c r="C38" s="155"/>
      <c r="D38" s="155"/>
      <c r="E38" s="155"/>
      <c r="F38" s="155"/>
      <c r="G38" s="155"/>
      <c r="H38" s="155"/>
      <c r="I38" s="155"/>
      <c r="J38" s="155"/>
    </row>
    <row r="39" spans="1:10" s="7" customFormat="1" ht="12.75" customHeight="1" x14ac:dyDescent="0.35">
      <c r="A39" s="155"/>
      <c r="B39" s="155"/>
      <c r="C39" s="155"/>
      <c r="D39" s="155"/>
      <c r="E39" s="155"/>
      <c r="F39" s="155"/>
      <c r="G39" s="155"/>
      <c r="H39" s="155"/>
      <c r="I39" s="155"/>
      <c r="J39" s="155"/>
    </row>
    <row r="40" spans="1:10" s="7" customFormat="1" ht="12.75" customHeight="1" x14ac:dyDescent="0.35">
      <c r="A40" s="155"/>
      <c r="B40" s="155"/>
      <c r="C40" s="155"/>
      <c r="D40" s="155"/>
      <c r="E40" s="155"/>
      <c r="F40" s="155"/>
      <c r="G40" s="155"/>
      <c r="H40" s="155"/>
      <c r="I40" s="155"/>
      <c r="J40" s="155"/>
    </row>
    <row r="41" spans="1:10" s="7" customFormat="1" ht="12.75" customHeight="1" x14ac:dyDescent="0.35">
      <c r="A41" s="156" t="s">
        <v>19</v>
      </c>
      <c r="B41" s="156"/>
      <c r="C41" s="156"/>
      <c r="D41" s="157" t="str">
        <f>D4</f>
        <v>001-1</v>
      </c>
      <c r="F41" s="5"/>
      <c r="G41" s="2"/>
      <c r="H41" s="158">
        <f ca="1">H4</f>
        <v>44011</v>
      </c>
      <c r="I41" s="159"/>
      <c r="J41" s="159"/>
    </row>
    <row r="42" spans="1:10" s="7" customFormat="1" ht="12.75" customHeight="1" x14ac:dyDescent="0.35">
      <c r="A42" s="156"/>
      <c r="B42" s="156"/>
      <c r="C42" s="156"/>
      <c r="D42" s="157"/>
      <c r="E42" s="5"/>
      <c r="F42" s="5"/>
      <c r="G42" s="2"/>
      <c r="H42" s="159"/>
      <c r="I42" s="159"/>
      <c r="J42" s="159"/>
    </row>
    <row r="43" spans="1:10" s="7" customFormat="1" ht="6.4" customHeight="1" x14ac:dyDescent="0.35">
      <c r="B43" s="4"/>
      <c r="C43" s="2"/>
      <c r="D43" s="2"/>
      <c r="E43" s="2"/>
      <c r="F43" s="2"/>
      <c r="G43" s="2"/>
      <c r="H43" s="2"/>
      <c r="I43" s="2"/>
      <c r="J43" s="2"/>
    </row>
    <row r="44" spans="1:10" s="7" customFormat="1" ht="12.75" customHeight="1" x14ac:dyDescent="0.35">
      <c r="A44" s="146" t="s">
        <v>1</v>
      </c>
      <c r="B44" s="146"/>
      <c r="C44" s="148" t="str">
        <f>C7</f>
        <v>Навальный Алексей «ФБК»</v>
      </c>
      <c r="D44" s="148"/>
      <c r="E44" s="148"/>
      <c r="F44" s="148"/>
      <c r="G44" s="148"/>
      <c r="H44" s="148"/>
      <c r="I44" s="148"/>
      <c r="J44" s="148"/>
    </row>
    <row r="45" spans="1:10" s="7" customFormat="1" ht="6.4" customHeight="1" x14ac:dyDescent="0.35">
      <c r="B45" s="4"/>
      <c r="C45" s="6"/>
      <c r="D45" s="6"/>
      <c r="E45" s="6"/>
      <c r="F45" s="6"/>
      <c r="G45" s="2"/>
      <c r="H45" s="2"/>
      <c r="I45" s="2"/>
      <c r="J45" s="2"/>
    </row>
    <row r="46" spans="1:10" s="7" customFormat="1" ht="12.75" customHeight="1" x14ac:dyDescent="0.35">
      <c r="A46" s="146" t="s">
        <v>2</v>
      </c>
      <c r="B46" s="146"/>
      <c r="C46" s="148" t="str">
        <f>C9</f>
        <v>Договор №001-01/20 от 01 января 2020 г.</v>
      </c>
      <c r="D46" s="148"/>
      <c r="E46" s="148"/>
      <c r="F46" s="148"/>
      <c r="G46" s="148"/>
      <c r="H46" s="148"/>
      <c r="I46" s="148"/>
      <c r="J46" s="148"/>
    </row>
    <row r="47" spans="1:10" s="7" customFormat="1" ht="6.4" customHeight="1" x14ac:dyDescent="0.35">
      <c r="B47" s="4"/>
      <c r="C47" s="6"/>
      <c r="D47" s="6"/>
      <c r="E47" s="6"/>
      <c r="F47" s="6"/>
      <c r="G47" s="2"/>
      <c r="H47" s="2"/>
      <c r="I47" s="2"/>
      <c r="J47" s="2"/>
    </row>
    <row r="48" spans="1:10" s="7" customFormat="1" ht="12.75" customHeight="1" x14ac:dyDescent="0.35">
      <c r="A48" s="146" t="s">
        <v>3</v>
      </c>
      <c r="B48" s="146"/>
      <c r="C48" s="149" t="str">
        <f>C11</f>
        <v>____________________________________</v>
      </c>
      <c r="D48" s="149"/>
      <c r="E48" s="149"/>
      <c r="F48" s="149"/>
      <c r="G48" s="149"/>
      <c r="H48" s="149"/>
      <c r="I48" s="149"/>
      <c r="J48" s="149"/>
    </row>
    <row r="49" spans="1:10" s="7" customFormat="1" ht="12.75" customHeight="1" thickBot="1" x14ac:dyDescent="0.4">
      <c r="B49" s="2"/>
      <c r="C49" s="2"/>
      <c r="D49" s="2"/>
      <c r="E49" s="2"/>
      <c r="F49" s="2"/>
      <c r="G49" s="2"/>
      <c r="H49" s="2"/>
      <c r="I49" s="2"/>
      <c r="J49" s="2"/>
    </row>
    <row r="50" spans="1:10" s="7" customFormat="1" ht="12.75" customHeight="1" x14ac:dyDescent="0.35">
      <c r="A50" s="167" t="s">
        <v>4</v>
      </c>
      <c r="B50" s="169" t="s">
        <v>5</v>
      </c>
      <c r="C50" s="171" t="s">
        <v>6</v>
      </c>
      <c r="D50" s="171"/>
      <c r="E50" s="171"/>
      <c r="F50" s="171"/>
      <c r="G50" s="171" t="s">
        <v>10</v>
      </c>
      <c r="H50" s="171" t="s">
        <v>9</v>
      </c>
      <c r="I50" s="171" t="s">
        <v>8</v>
      </c>
      <c r="J50" s="162" t="s">
        <v>7</v>
      </c>
    </row>
    <row r="51" spans="1:10" s="7" customFormat="1" ht="12.75" customHeight="1" x14ac:dyDescent="0.35">
      <c r="A51" s="168"/>
      <c r="B51" s="170"/>
      <c r="C51" s="172"/>
      <c r="D51" s="172"/>
      <c r="E51" s="172"/>
      <c r="F51" s="172"/>
      <c r="G51" s="172"/>
      <c r="H51" s="172"/>
      <c r="I51" s="172"/>
      <c r="J51" s="163"/>
    </row>
    <row r="52" spans="1:10" s="7" customFormat="1" ht="12.75" customHeight="1" x14ac:dyDescent="0.35">
      <c r="A52" s="127">
        <v>1</v>
      </c>
      <c r="B52" s="129" t="str">
        <f>B15</f>
        <v>00001</v>
      </c>
      <c r="C52" s="131" t="str">
        <f>C15</f>
        <v>Экспертиза и оценка: Транспортное средство Subaru Outback, 08KG848ААА</v>
      </c>
      <c r="D52" s="132"/>
      <c r="E52" s="132"/>
      <c r="F52" s="133"/>
      <c r="G52" s="137" t="str">
        <f>G15</f>
        <v>шт.</v>
      </c>
      <c r="H52" s="137">
        <f>H15</f>
        <v>1</v>
      </c>
      <c r="I52" s="138">
        <f>I15</f>
        <v>2500</v>
      </c>
      <c r="J52" s="140">
        <f>I52*H52</f>
        <v>2500</v>
      </c>
    </row>
    <row r="53" spans="1:10" s="7" customFormat="1" ht="12.75" customHeight="1" x14ac:dyDescent="0.35">
      <c r="A53" s="128"/>
      <c r="B53" s="130"/>
      <c r="C53" s="134"/>
      <c r="D53" s="135"/>
      <c r="E53" s="135"/>
      <c r="F53" s="136"/>
      <c r="G53" s="130"/>
      <c r="H53" s="130"/>
      <c r="I53" s="139"/>
      <c r="J53" s="141"/>
    </row>
    <row r="54" spans="1:10" s="7" customFormat="1" ht="12.75" customHeight="1" thickBot="1" x14ac:dyDescent="0.4">
      <c r="A54" s="164" t="s">
        <v>279</v>
      </c>
      <c r="B54" s="165"/>
      <c r="C54" s="165"/>
      <c r="D54" s="165"/>
      <c r="E54" s="165"/>
      <c r="F54" s="165"/>
      <c r="G54" s="165"/>
      <c r="H54" s="165"/>
      <c r="I54" s="166"/>
      <c r="J54" s="13">
        <f>J52</f>
        <v>2500</v>
      </c>
    </row>
    <row r="55" spans="1:10" s="7" customFormat="1" ht="6.4" customHeight="1" x14ac:dyDescent="0.35">
      <c r="B55" s="4"/>
      <c r="C55" s="6"/>
      <c r="D55" s="6"/>
      <c r="E55" s="6"/>
      <c r="F55" s="6"/>
      <c r="G55" s="2"/>
      <c r="H55" s="2"/>
      <c r="I55" s="2"/>
      <c r="J55" s="2"/>
    </row>
    <row r="56" spans="1:10" s="7" customFormat="1" ht="12.75" customHeight="1" x14ac:dyDescent="0.35">
      <c r="A56" s="145" t="s">
        <v>13</v>
      </c>
      <c r="B56" s="145"/>
      <c r="C56" s="145"/>
      <c r="D56" s="145"/>
      <c r="E56" s="145"/>
      <c r="F56" s="145"/>
      <c r="G56" s="145"/>
      <c r="H56" s="145"/>
      <c r="I56" s="145"/>
      <c r="J56" s="145"/>
    </row>
    <row r="57" spans="1:10" s="7" customFormat="1" ht="6.4" customHeight="1" x14ac:dyDescent="0.35">
      <c r="B57" s="4"/>
      <c r="C57" s="6"/>
      <c r="D57" s="6"/>
      <c r="E57" s="6"/>
      <c r="F57" s="6"/>
      <c r="G57" s="2"/>
      <c r="H57" s="2"/>
      <c r="I57" s="2"/>
      <c r="J57" s="2"/>
    </row>
    <row r="58" spans="1:10" s="7" customFormat="1" ht="12.75" customHeight="1" x14ac:dyDescent="0.35">
      <c r="A58" s="145" t="s">
        <v>14</v>
      </c>
      <c r="B58" s="145"/>
      <c r="C58" s="145"/>
      <c r="D58" s="145"/>
      <c r="E58" s="145"/>
      <c r="F58" s="145"/>
      <c r="G58" s="145"/>
      <c r="H58" s="145"/>
      <c r="I58" s="145"/>
      <c r="J58" s="145"/>
    </row>
    <row r="59" spans="1:10" s="7" customFormat="1" ht="12.75" customHeight="1" x14ac:dyDescent="0.35">
      <c r="B59" s="2"/>
      <c r="C59" s="2"/>
      <c r="D59" s="2"/>
      <c r="E59" s="2"/>
      <c r="F59" s="2"/>
      <c r="G59" s="2"/>
      <c r="H59" s="2"/>
      <c r="I59" s="2"/>
      <c r="J59" s="2"/>
    </row>
    <row r="60" spans="1:10" s="7" customFormat="1" x14ac:dyDescent="0.35">
      <c r="A60" s="146" t="s">
        <v>15</v>
      </c>
      <c r="B60" s="146"/>
      <c r="C60" s="147" t="str">
        <f>C23</f>
        <v>Две тысячи пятьсот сом, 00 тыйын</v>
      </c>
      <c r="D60" s="147"/>
      <c r="E60" s="147"/>
      <c r="F60" s="147"/>
      <c r="G60" s="147"/>
      <c r="H60" s="147"/>
      <c r="I60" s="147"/>
      <c r="J60" s="147"/>
    </row>
    <row r="61" spans="1:10" s="7" customFormat="1" x14ac:dyDescent="0.35">
      <c r="B61" s="2"/>
      <c r="C61" s="2"/>
      <c r="D61" s="2"/>
      <c r="E61" s="2"/>
      <c r="F61" s="2"/>
      <c r="G61" s="2"/>
      <c r="H61" s="2"/>
      <c r="I61" s="2"/>
      <c r="J61" s="2"/>
    </row>
    <row r="62" spans="1:10" s="7" customFormat="1" x14ac:dyDescent="0.35">
      <c r="B62" s="2"/>
      <c r="C62" s="2"/>
      <c r="D62" s="2"/>
      <c r="E62" s="2"/>
      <c r="F62" s="2"/>
      <c r="G62" s="2"/>
      <c r="H62" s="2"/>
      <c r="I62" s="2"/>
      <c r="J62" s="2"/>
    </row>
    <row r="63" spans="1:10" s="7" customFormat="1" x14ac:dyDescent="0.35">
      <c r="B63" s="2"/>
      <c r="C63" s="124" t="s">
        <v>17</v>
      </c>
      <c r="D63" s="124"/>
      <c r="E63" s="124"/>
      <c r="F63" s="124"/>
      <c r="G63" s="124"/>
      <c r="H63" s="124"/>
      <c r="I63" s="124"/>
      <c r="J63" s="124"/>
    </row>
    <row r="64" spans="1:10" s="7" customFormat="1" x14ac:dyDescent="0.35">
      <c r="B64" s="2"/>
      <c r="C64" s="2"/>
      <c r="D64" s="2"/>
      <c r="E64" s="2"/>
      <c r="F64" s="2"/>
      <c r="G64" s="2"/>
      <c r="H64" s="2"/>
      <c r="I64" s="2"/>
      <c r="J64" s="2"/>
    </row>
    <row r="65" spans="2:10" s="7" customFormat="1" x14ac:dyDescent="0.35">
      <c r="B65" s="8" t="s">
        <v>16</v>
      </c>
      <c r="C65" s="2"/>
      <c r="D65" s="2"/>
      <c r="E65" s="2"/>
      <c r="F65" s="2"/>
      <c r="G65" s="2"/>
      <c r="H65" s="2"/>
      <c r="I65" s="2"/>
      <c r="J65" s="2"/>
    </row>
    <row r="66" spans="2:10" s="7" customFormat="1" x14ac:dyDescent="0.35">
      <c r="B66" s="8"/>
      <c r="C66" s="2"/>
      <c r="D66" s="2"/>
      <c r="E66" s="2"/>
      <c r="F66" s="2"/>
      <c r="G66" s="2"/>
      <c r="H66" s="2"/>
      <c r="I66" s="2"/>
      <c r="J66" s="2"/>
    </row>
    <row r="67" spans="2:10" s="7" customFormat="1" x14ac:dyDescent="0.35">
      <c r="B67" s="8"/>
      <c r="C67" s="2"/>
      <c r="D67" s="2"/>
      <c r="E67" s="2"/>
      <c r="F67" s="2"/>
      <c r="G67" s="2"/>
      <c r="H67" s="2"/>
      <c r="I67" s="2"/>
      <c r="J67" s="2"/>
    </row>
    <row r="68" spans="2:10" s="7" customFormat="1" x14ac:dyDescent="0.35">
      <c r="B68" s="8"/>
      <c r="C68" s="2"/>
      <c r="D68" s="2"/>
      <c r="E68" s="2"/>
      <c r="F68" s="2"/>
      <c r="G68" s="2"/>
      <c r="H68" s="2"/>
      <c r="I68" s="2"/>
      <c r="J68" s="2"/>
    </row>
    <row r="69" spans="2:10" s="7" customFormat="1" x14ac:dyDescent="0.35">
      <c r="B69" s="8"/>
      <c r="C69" s="2"/>
      <c r="D69" s="2"/>
      <c r="E69" s="2"/>
      <c r="F69" s="2"/>
      <c r="G69" s="2"/>
      <c r="H69" s="2"/>
      <c r="I69" s="2"/>
      <c r="J69" s="2"/>
    </row>
    <row r="70" spans="2:10" s="7" customFormat="1" x14ac:dyDescent="0.35">
      <c r="B70" s="8"/>
      <c r="C70" s="2"/>
      <c r="D70" s="2"/>
      <c r="E70" s="2"/>
      <c r="F70" s="2"/>
      <c r="G70" s="2"/>
      <c r="H70" s="2"/>
      <c r="I70" s="2"/>
      <c r="J70" s="2"/>
    </row>
    <row r="71" spans="2:10" s="7" customFormat="1" x14ac:dyDescent="0.35">
      <c r="B71" s="2"/>
      <c r="C71" s="2"/>
      <c r="D71" s="2"/>
      <c r="E71" s="2"/>
      <c r="F71" s="2"/>
      <c r="G71" s="2"/>
      <c r="H71" s="2"/>
      <c r="I71" s="2"/>
      <c r="J71" s="2"/>
    </row>
    <row r="72" spans="2:10" s="7" customFormat="1" x14ac:dyDescent="0.35">
      <c r="B72" s="2"/>
      <c r="C72" s="2"/>
      <c r="D72" s="2"/>
      <c r="E72" s="2"/>
      <c r="F72" s="2"/>
      <c r="G72" s="2"/>
      <c r="H72" s="2"/>
      <c r="I72" s="2"/>
      <c r="J72" s="2"/>
    </row>
    <row r="73" spans="2:10" s="7" customFormat="1" x14ac:dyDescent="0.35">
      <c r="B73" s="2"/>
      <c r="C73" s="2"/>
      <c r="D73" s="2"/>
      <c r="E73" s="2"/>
      <c r="F73" s="2"/>
      <c r="G73" s="2"/>
      <c r="H73" s="2"/>
      <c r="I73" s="2"/>
      <c r="J73" s="2"/>
    </row>
    <row r="74" spans="2:10" s="7" customFormat="1" x14ac:dyDescent="0.35">
      <c r="B74" s="8"/>
      <c r="C74" s="2"/>
      <c r="D74" s="2"/>
      <c r="E74" s="2"/>
      <c r="F74" s="2"/>
      <c r="G74" s="2"/>
      <c r="H74" s="2"/>
      <c r="I74" s="2"/>
      <c r="J74" s="2"/>
    </row>
    <row r="75" spans="2:10" s="7" customFormat="1" x14ac:dyDescent="0.35">
      <c r="B75" s="8"/>
      <c r="C75" s="2"/>
      <c r="D75" s="2"/>
      <c r="E75" s="2"/>
      <c r="F75" s="2"/>
      <c r="G75" s="2"/>
      <c r="H75" s="2"/>
      <c r="I75" s="2"/>
      <c r="J75" s="2"/>
    </row>
    <row r="76" spans="2:10" s="7" customFormat="1" x14ac:dyDescent="0.35">
      <c r="B76" s="8"/>
      <c r="C76" s="2"/>
      <c r="D76" s="2"/>
      <c r="E76" s="2"/>
      <c r="F76" s="2"/>
      <c r="G76" s="2"/>
      <c r="H76" s="2"/>
      <c r="I76" s="2"/>
      <c r="J76" s="2"/>
    </row>
    <row r="77" spans="2:10" s="7" customFormat="1" x14ac:dyDescent="0.35">
      <c r="B77" s="8"/>
      <c r="C77" s="2"/>
      <c r="D77" s="2"/>
      <c r="E77" s="2"/>
      <c r="F77" s="2"/>
      <c r="G77" s="2"/>
      <c r="H77" s="2"/>
      <c r="I77" s="2"/>
      <c r="J77" s="2"/>
    </row>
    <row r="78" spans="2:10" s="7" customFormat="1" x14ac:dyDescent="0.35">
      <c r="B78" s="8"/>
      <c r="C78" s="2"/>
      <c r="D78" s="2"/>
      <c r="E78" s="2"/>
      <c r="F78" s="2"/>
      <c r="G78" s="2"/>
      <c r="H78" s="2"/>
      <c r="I78" s="2"/>
      <c r="J78" s="2"/>
    </row>
    <row r="79" spans="2:10" s="7" customFormat="1" x14ac:dyDescent="0.35">
      <c r="B79" s="2"/>
      <c r="C79" s="2"/>
      <c r="D79" s="2"/>
      <c r="E79" s="2"/>
      <c r="F79" s="2"/>
      <c r="G79" s="2"/>
      <c r="H79" s="2"/>
      <c r="I79" s="2"/>
      <c r="J79" s="2"/>
    </row>
    <row r="80" spans="2:10" s="7" customFormat="1" x14ac:dyDescent="0.35">
      <c r="B80" s="2"/>
      <c r="C80" s="2"/>
      <c r="D80" s="2"/>
      <c r="E80" s="2"/>
      <c r="F80" s="2"/>
      <c r="G80" s="2"/>
      <c r="H80" s="2"/>
      <c r="I80" s="2"/>
      <c r="J80" s="2"/>
    </row>
    <row r="81" spans="1:10" s="7" customFormat="1" x14ac:dyDescent="0.35">
      <c r="B81" s="2"/>
      <c r="C81" s="2"/>
      <c r="D81" s="2"/>
      <c r="E81" s="2"/>
      <c r="F81" s="2"/>
      <c r="G81" s="2"/>
      <c r="H81" s="2"/>
      <c r="I81" s="2"/>
      <c r="J81" s="2"/>
    </row>
    <row r="82" spans="1:10" s="7" customFormat="1" x14ac:dyDescent="0.35">
      <c r="B82" s="3"/>
      <c r="C82" s="3"/>
      <c r="D82" s="3"/>
      <c r="E82" s="3"/>
      <c r="F82" s="3"/>
      <c r="G82" s="3"/>
      <c r="H82" s="3"/>
      <c r="I82" s="3"/>
      <c r="J82" s="3"/>
    </row>
    <row r="83" spans="1:10" s="9" customFormat="1" ht="6.65" customHeight="1" x14ac:dyDescent="0.35">
      <c r="A83" s="3"/>
      <c r="B83" s="3"/>
      <c r="C83" s="3"/>
      <c r="D83" s="3"/>
      <c r="E83" s="3"/>
      <c r="F83" s="3"/>
      <c r="G83" s="3"/>
      <c r="H83" s="3"/>
      <c r="I83" s="3"/>
      <c r="J83" s="3"/>
    </row>
    <row r="84" spans="1:10" x14ac:dyDescent="0.3">
      <c r="B84" s="2"/>
      <c r="C84" s="2"/>
      <c r="D84" s="2"/>
      <c r="E84" s="2"/>
      <c r="F84" s="2"/>
      <c r="G84" s="2"/>
      <c r="H84" s="2"/>
      <c r="I84" s="2"/>
      <c r="J84" s="2"/>
    </row>
    <row r="85" spans="1:10" x14ac:dyDescent="0.3">
      <c r="B85" s="2"/>
      <c r="C85" s="2"/>
      <c r="D85" s="2"/>
      <c r="E85" s="2"/>
      <c r="F85" s="2"/>
      <c r="G85" s="2"/>
      <c r="H85" s="2"/>
      <c r="I85" s="2"/>
      <c r="J85" s="2"/>
    </row>
    <row r="86" spans="1:10" x14ac:dyDescent="0.3">
      <c r="B86" s="2"/>
      <c r="C86" s="2"/>
      <c r="D86" s="2"/>
      <c r="E86" s="2"/>
      <c r="F86" s="2"/>
      <c r="G86" s="2"/>
      <c r="H86" s="2"/>
      <c r="I86" s="2"/>
      <c r="J86" s="2"/>
    </row>
    <row r="87" spans="1:10" x14ac:dyDescent="0.3">
      <c r="B87" s="2"/>
      <c r="C87" s="2"/>
      <c r="D87" s="2"/>
      <c r="E87" s="2"/>
      <c r="F87" s="2"/>
      <c r="G87" s="2"/>
      <c r="H87" s="2"/>
      <c r="I87" s="2"/>
      <c r="J87" s="2"/>
    </row>
    <row r="88" spans="1:10" x14ac:dyDescent="0.3">
      <c r="B88" s="2"/>
      <c r="C88" s="2"/>
      <c r="D88" s="2"/>
      <c r="E88" s="2"/>
      <c r="F88" s="2"/>
      <c r="G88" s="2"/>
      <c r="H88" s="2"/>
      <c r="I88" s="2"/>
      <c r="J88" s="2"/>
    </row>
    <row r="89" spans="1:10" x14ac:dyDescent="0.3">
      <c r="B89" s="2"/>
      <c r="C89" s="2"/>
      <c r="D89" s="2"/>
      <c r="E89" s="2"/>
      <c r="F89" s="2"/>
      <c r="G89" s="2"/>
      <c r="H89" s="2"/>
      <c r="I89" s="2"/>
      <c r="J89" s="2"/>
    </row>
    <row r="90" spans="1:10" x14ac:dyDescent="0.3">
      <c r="B90" s="2"/>
      <c r="C90" s="2"/>
      <c r="D90" s="2"/>
      <c r="E90" s="2"/>
      <c r="F90" s="2"/>
      <c r="G90" s="2"/>
      <c r="H90" s="2"/>
      <c r="I90" s="2"/>
      <c r="J90" s="2"/>
    </row>
    <row r="91" spans="1:10" x14ac:dyDescent="0.3">
      <c r="B91" s="2"/>
      <c r="C91" s="2"/>
      <c r="D91" s="2"/>
      <c r="E91" s="2"/>
      <c r="F91" s="2"/>
      <c r="G91" s="2"/>
      <c r="H91" s="2"/>
      <c r="I91" s="2"/>
      <c r="J91" s="2"/>
    </row>
    <row r="92" spans="1:10" x14ac:dyDescent="0.3">
      <c r="B92" s="2"/>
      <c r="C92" s="2"/>
      <c r="D92" s="2"/>
      <c r="E92" s="2"/>
      <c r="F92" s="2"/>
      <c r="G92" s="2"/>
      <c r="H92" s="2"/>
      <c r="I92" s="2"/>
      <c r="J92" s="2"/>
    </row>
    <row r="93" spans="1:10" x14ac:dyDescent="0.3">
      <c r="B93" s="2"/>
      <c r="C93" s="2"/>
      <c r="D93" s="2"/>
      <c r="E93" s="2"/>
      <c r="F93" s="2"/>
      <c r="G93" s="2"/>
      <c r="H93" s="2"/>
      <c r="I93" s="2"/>
      <c r="J93" s="2"/>
    </row>
    <row r="94" spans="1:10" x14ac:dyDescent="0.3">
      <c r="B94" s="2"/>
      <c r="C94" s="2"/>
      <c r="D94" s="2"/>
      <c r="E94" s="2"/>
      <c r="F94" s="2"/>
      <c r="G94" s="2"/>
      <c r="H94" s="2"/>
      <c r="I94" s="2"/>
      <c r="J94" s="2"/>
    </row>
    <row r="95" spans="1:10" x14ac:dyDescent="0.3">
      <c r="B95" s="2"/>
      <c r="C95" s="2"/>
      <c r="D95" s="2"/>
      <c r="E95" s="2"/>
      <c r="F95" s="2"/>
      <c r="G95" s="2"/>
      <c r="H95" s="2"/>
      <c r="I95" s="2"/>
      <c r="J95" s="2"/>
    </row>
    <row r="96" spans="1:10" x14ac:dyDescent="0.3">
      <c r="B96" s="2"/>
      <c r="C96" s="2"/>
      <c r="D96" s="2"/>
      <c r="E96" s="2"/>
      <c r="F96" s="2"/>
      <c r="G96" s="2"/>
      <c r="H96" s="2"/>
      <c r="I96" s="2"/>
      <c r="J96" s="2"/>
    </row>
    <row r="97" spans="2:10" x14ac:dyDescent="0.3">
      <c r="B97" s="2"/>
      <c r="C97" s="2"/>
      <c r="D97" s="2"/>
      <c r="E97" s="2"/>
      <c r="F97" s="2"/>
      <c r="G97" s="2"/>
      <c r="H97" s="2"/>
      <c r="I97" s="2"/>
      <c r="J97" s="2"/>
    </row>
    <row r="98" spans="2:10" x14ac:dyDescent="0.3">
      <c r="B98" s="2"/>
      <c r="C98" s="2"/>
      <c r="D98" s="2"/>
      <c r="E98" s="2"/>
      <c r="F98" s="2"/>
      <c r="G98" s="2"/>
      <c r="H98" s="2"/>
      <c r="I98" s="2"/>
      <c r="J98" s="2"/>
    </row>
    <row r="99" spans="2:10" x14ac:dyDescent="0.3">
      <c r="B99" s="2"/>
      <c r="C99" s="2"/>
      <c r="D99" s="2"/>
      <c r="E99" s="2"/>
      <c r="F99" s="2"/>
      <c r="G99" s="2"/>
      <c r="H99" s="2"/>
      <c r="I99" s="2"/>
      <c r="J99" s="2"/>
    </row>
    <row r="100" spans="2:10" x14ac:dyDescent="0.3">
      <c r="B100" s="2"/>
      <c r="C100" s="2"/>
      <c r="D100" s="2"/>
      <c r="E100" s="2"/>
      <c r="F100" s="2"/>
      <c r="G100" s="2"/>
      <c r="H100" s="2"/>
      <c r="I100" s="2"/>
      <c r="J100" s="2"/>
    </row>
    <row r="101" spans="2:10" x14ac:dyDescent="0.3">
      <c r="B101" s="2"/>
      <c r="C101" s="2"/>
      <c r="D101" s="2"/>
      <c r="E101" s="2"/>
      <c r="F101" s="2"/>
      <c r="G101" s="2"/>
      <c r="H101" s="2"/>
      <c r="I101" s="2"/>
      <c r="J101" s="2"/>
    </row>
    <row r="102" spans="2:10" x14ac:dyDescent="0.3">
      <c r="B102" s="2"/>
      <c r="C102" s="2"/>
      <c r="D102" s="2"/>
      <c r="E102" s="2"/>
      <c r="F102" s="2"/>
      <c r="G102" s="2"/>
      <c r="H102" s="2"/>
      <c r="I102" s="2"/>
      <c r="J102" s="2"/>
    </row>
    <row r="103" spans="2:10" x14ac:dyDescent="0.3">
      <c r="B103" s="2"/>
      <c r="C103" s="2"/>
      <c r="D103" s="2"/>
      <c r="E103" s="2"/>
      <c r="F103" s="2"/>
      <c r="G103" s="2"/>
      <c r="H103" s="2"/>
      <c r="I103" s="2"/>
      <c r="J103" s="2"/>
    </row>
    <row r="104" spans="2:10" x14ac:dyDescent="0.3">
      <c r="B104" s="2"/>
      <c r="C104" s="2"/>
      <c r="D104" s="2"/>
      <c r="E104" s="2"/>
      <c r="F104" s="2"/>
      <c r="G104" s="2"/>
      <c r="H104" s="2"/>
      <c r="I104" s="2"/>
      <c r="J104" s="2"/>
    </row>
    <row r="105" spans="2:10" x14ac:dyDescent="0.3">
      <c r="B105" s="2"/>
      <c r="C105" s="2"/>
      <c r="D105" s="2"/>
      <c r="E105" s="2"/>
      <c r="F105" s="2"/>
      <c r="G105" s="2"/>
      <c r="H105" s="2"/>
      <c r="I105" s="2"/>
      <c r="J105" s="2"/>
    </row>
    <row r="106" spans="2:10" x14ac:dyDescent="0.3">
      <c r="B106" s="2"/>
      <c r="C106" s="2"/>
      <c r="D106" s="2"/>
      <c r="E106" s="2"/>
      <c r="F106" s="2"/>
      <c r="G106" s="2"/>
      <c r="H106" s="2"/>
      <c r="I106" s="2"/>
      <c r="J106" s="2"/>
    </row>
    <row r="107" spans="2:10" x14ac:dyDescent="0.3">
      <c r="B107" s="2"/>
      <c r="C107" s="2"/>
      <c r="D107" s="2"/>
      <c r="E107" s="2"/>
      <c r="F107" s="2"/>
      <c r="G107" s="2"/>
      <c r="H107" s="2"/>
      <c r="I107" s="2"/>
      <c r="J107" s="2"/>
    </row>
    <row r="108" spans="2:10" x14ac:dyDescent="0.3">
      <c r="B108" s="2"/>
      <c r="C108" s="2"/>
      <c r="D108" s="2"/>
      <c r="E108" s="2"/>
      <c r="F108" s="2"/>
      <c r="G108" s="2"/>
      <c r="H108" s="2"/>
      <c r="I108" s="2"/>
      <c r="J108" s="2"/>
    </row>
    <row r="109" spans="2:10" x14ac:dyDescent="0.3">
      <c r="B109" s="2"/>
      <c r="C109" s="2"/>
      <c r="D109" s="2"/>
      <c r="E109" s="2"/>
      <c r="F109" s="2"/>
      <c r="G109" s="2"/>
      <c r="H109" s="2"/>
      <c r="I109" s="2"/>
      <c r="J109" s="2"/>
    </row>
    <row r="110" spans="2:10" x14ac:dyDescent="0.3">
      <c r="B110" s="2"/>
      <c r="C110" s="2"/>
      <c r="D110" s="2"/>
      <c r="E110" s="2"/>
      <c r="F110" s="2"/>
      <c r="G110" s="2"/>
      <c r="H110" s="2"/>
      <c r="I110" s="2"/>
      <c r="J110" s="2"/>
    </row>
    <row r="111" spans="2:10" x14ac:dyDescent="0.3">
      <c r="B111" s="2"/>
      <c r="C111" s="2"/>
      <c r="D111" s="2"/>
      <c r="E111" s="2"/>
      <c r="F111" s="2"/>
      <c r="G111" s="2"/>
      <c r="H111" s="2"/>
      <c r="I111" s="2"/>
      <c r="J111" s="2"/>
    </row>
    <row r="112" spans="2:10" x14ac:dyDescent="0.3">
      <c r="B112" s="2"/>
      <c r="C112" s="2"/>
      <c r="D112" s="2"/>
      <c r="E112" s="2"/>
      <c r="F112" s="2"/>
      <c r="G112" s="2"/>
      <c r="H112" s="2"/>
      <c r="I112" s="2"/>
      <c r="J112" s="2"/>
    </row>
    <row r="113" spans="2:10" x14ac:dyDescent="0.3">
      <c r="B113" s="2"/>
      <c r="C113" s="2"/>
      <c r="D113" s="2"/>
      <c r="E113" s="2"/>
      <c r="F113" s="2"/>
      <c r="G113" s="2"/>
      <c r="H113" s="2"/>
      <c r="I113" s="2"/>
      <c r="J113" s="2"/>
    </row>
    <row r="114" spans="2:10" x14ac:dyDescent="0.3">
      <c r="B114" s="2"/>
      <c r="C114" s="2"/>
      <c r="D114" s="2"/>
      <c r="E114" s="2"/>
      <c r="F114" s="2"/>
      <c r="G114" s="2"/>
      <c r="H114" s="2"/>
      <c r="I114" s="2"/>
      <c r="J114" s="2"/>
    </row>
    <row r="115" spans="2:10" x14ac:dyDescent="0.3">
      <c r="B115" s="2"/>
      <c r="C115" s="2"/>
      <c r="D115" s="2"/>
      <c r="E115" s="2"/>
      <c r="F115" s="2"/>
      <c r="G115" s="2"/>
      <c r="H115" s="2"/>
      <c r="I115" s="2"/>
      <c r="J115" s="2"/>
    </row>
    <row r="116" spans="2:10" x14ac:dyDescent="0.3">
      <c r="B116" s="2"/>
      <c r="C116" s="2"/>
      <c r="D116" s="2"/>
      <c r="E116" s="2"/>
      <c r="F116" s="2"/>
      <c r="G116" s="2"/>
      <c r="H116" s="2"/>
      <c r="I116" s="2"/>
      <c r="J116" s="2"/>
    </row>
    <row r="117" spans="2:10" x14ac:dyDescent="0.3">
      <c r="B117" s="2"/>
      <c r="C117" s="2"/>
      <c r="D117" s="2"/>
      <c r="E117" s="2"/>
      <c r="F117" s="2"/>
      <c r="G117" s="2"/>
      <c r="H117" s="2"/>
      <c r="I117" s="2"/>
      <c r="J117" s="2"/>
    </row>
    <row r="118" spans="2:10" x14ac:dyDescent="0.3">
      <c r="B118" s="2"/>
      <c r="C118" s="2"/>
      <c r="D118" s="2"/>
      <c r="E118" s="2"/>
      <c r="F118" s="2"/>
      <c r="G118" s="2"/>
      <c r="H118" s="2"/>
      <c r="I118" s="2"/>
      <c r="J118" s="2"/>
    </row>
    <row r="119" spans="2:10" x14ac:dyDescent="0.3">
      <c r="B119" s="2"/>
      <c r="C119" s="2"/>
      <c r="D119" s="2"/>
      <c r="E119" s="2"/>
      <c r="F119" s="2"/>
      <c r="G119" s="2"/>
      <c r="H119" s="2"/>
      <c r="I119" s="2"/>
      <c r="J119" s="2"/>
    </row>
  </sheetData>
  <mergeCells count="60">
    <mergeCell ref="A1:J3"/>
    <mergeCell ref="A4:C5"/>
    <mergeCell ref="D4:D5"/>
    <mergeCell ref="H4:J5"/>
    <mergeCell ref="A7:B7"/>
    <mergeCell ref="C7:J7"/>
    <mergeCell ref="A9:B9"/>
    <mergeCell ref="C9:J9"/>
    <mergeCell ref="A11:B11"/>
    <mergeCell ref="C11:J11"/>
    <mergeCell ref="A13:A14"/>
    <mergeCell ref="B13:B14"/>
    <mergeCell ref="C13:F14"/>
    <mergeCell ref="G13:G14"/>
    <mergeCell ref="H13:H14"/>
    <mergeCell ref="I13:I14"/>
    <mergeCell ref="C26:J26"/>
    <mergeCell ref="J13:J14"/>
    <mergeCell ref="A15:A16"/>
    <mergeCell ref="B15:B16"/>
    <mergeCell ref="C15:F16"/>
    <mergeCell ref="G15:G16"/>
    <mergeCell ref="H15:H16"/>
    <mergeCell ref="I15:I16"/>
    <mergeCell ref="J15:J16"/>
    <mergeCell ref="A17:I17"/>
    <mergeCell ref="A19:J19"/>
    <mergeCell ref="A21:J21"/>
    <mergeCell ref="A23:B23"/>
    <mergeCell ref="C23:J23"/>
    <mergeCell ref="A38:J40"/>
    <mergeCell ref="A41:C42"/>
    <mergeCell ref="D41:D42"/>
    <mergeCell ref="H41:J42"/>
    <mergeCell ref="A44:B44"/>
    <mergeCell ref="C44:J44"/>
    <mergeCell ref="A46:B46"/>
    <mergeCell ref="C46:J46"/>
    <mergeCell ref="A48:B48"/>
    <mergeCell ref="C48:J48"/>
    <mergeCell ref="A50:A51"/>
    <mergeCell ref="B50:B51"/>
    <mergeCell ref="C50:F51"/>
    <mergeCell ref="G50:G51"/>
    <mergeCell ref="H50:H51"/>
    <mergeCell ref="I50:I51"/>
    <mergeCell ref="C63:J63"/>
    <mergeCell ref="J50:J51"/>
    <mergeCell ref="A52:A53"/>
    <mergeCell ref="B52:B53"/>
    <mergeCell ref="C52:F53"/>
    <mergeCell ref="G52:G53"/>
    <mergeCell ref="H52:H53"/>
    <mergeCell ref="I52:I53"/>
    <mergeCell ref="J52:J53"/>
    <mergeCell ref="A54:I54"/>
    <mergeCell ref="A56:J56"/>
    <mergeCell ref="A58:J58"/>
    <mergeCell ref="A60:B60"/>
    <mergeCell ref="C60:J60"/>
  </mergeCells>
  <pageMargins left="0.39370078740157483" right="0.39370078740157483" top="0.39370078740157483" bottom="0.39370078740157483" header="0" footer="0"/>
  <pageSetup paperSize="9" scale="99" orientation="portrait" horizont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O32"/>
  <sheetViews>
    <sheetView view="pageBreakPreview" zoomScaleNormal="100" zoomScaleSheetLayoutView="100" workbookViewId="0">
      <selection activeCell="B11" sqref="B11:C12"/>
    </sheetView>
  </sheetViews>
  <sheetFormatPr defaultColWidth="9.26953125" defaultRowHeight="12.75" customHeight="1" x14ac:dyDescent="0.35"/>
  <cols>
    <col min="1" max="1" width="8.7265625" style="8" customWidth="1"/>
    <col min="2" max="2" width="2.7265625" style="8" customWidth="1"/>
    <col min="3" max="3" width="8.7265625" style="8" customWidth="1"/>
    <col min="4" max="4" width="3.7265625" style="8" customWidth="1"/>
    <col min="5" max="6" width="8.7265625" style="8" customWidth="1"/>
    <col min="7" max="7" width="11.7265625" style="8" customWidth="1"/>
    <col min="8" max="8" width="8.7265625" style="8" customWidth="1"/>
    <col min="9" max="9" width="3.7265625" style="8" customWidth="1"/>
    <col min="10" max="10" width="0.7265625" style="8" customWidth="1"/>
    <col min="11" max="11" width="2.26953125" style="8" customWidth="1"/>
    <col min="12" max="12" width="10.26953125" style="8" customWidth="1"/>
    <col min="13" max="13" width="3.7265625" style="8" customWidth="1"/>
    <col min="14" max="14" width="2.7265625" style="8" customWidth="1"/>
    <col min="15" max="15" width="10.26953125" style="8" customWidth="1"/>
    <col min="16" max="16384" width="9.26953125" style="8"/>
  </cols>
  <sheetData>
    <row r="1" spans="1:15" ht="12.75" customHeight="1" x14ac:dyDescent="0.35">
      <c r="A1" s="209" t="s">
        <v>20</v>
      </c>
      <c r="B1" s="209"/>
      <c r="C1" s="209"/>
      <c r="D1" s="209"/>
      <c r="E1" s="209"/>
      <c r="F1" s="209"/>
      <c r="H1" s="211" t="s">
        <v>23</v>
      </c>
      <c r="I1" s="211"/>
      <c r="J1" s="22"/>
      <c r="K1" s="177" t="s">
        <v>39</v>
      </c>
      <c r="L1" s="209" t="s">
        <v>20</v>
      </c>
      <c r="M1" s="209"/>
      <c r="N1" s="209"/>
      <c r="O1" s="209"/>
    </row>
    <row r="2" spans="1:15" ht="12.75" customHeight="1" x14ac:dyDescent="0.35">
      <c r="A2" s="210" t="s">
        <v>21</v>
      </c>
      <c r="B2" s="210"/>
      <c r="C2" s="210"/>
      <c r="D2" s="210"/>
      <c r="E2" s="210"/>
      <c r="F2" s="210"/>
      <c r="H2" s="213"/>
      <c r="I2" s="213"/>
      <c r="J2" s="23"/>
      <c r="K2" s="177"/>
      <c r="L2" s="210" t="s">
        <v>21</v>
      </c>
      <c r="M2" s="210"/>
      <c r="N2" s="210"/>
      <c r="O2" s="210"/>
    </row>
    <row r="3" spans="1:15" ht="12.75" customHeight="1" x14ac:dyDescent="0.35">
      <c r="H3" s="213" t="s">
        <v>32</v>
      </c>
      <c r="I3" s="213"/>
      <c r="J3" s="23"/>
      <c r="K3" s="177"/>
    </row>
    <row r="4" spans="1:15" ht="12.75" customHeight="1" x14ac:dyDescent="0.35">
      <c r="H4" s="186"/>
      <c r="I4" s="212"/>
      <c r="J4" s="24"/>
      <c r="K4" s="177"/>
      <c r="L4" s="190" t="s">
        <v>29</v>
      </c>
      <c r="M4" s="190"/>
      <c r="N4" s="190"/>
      <c r="O4" s="190"/>
    </row>
    <row r="5" spans="1:15" ht="12.75" customHeight="1" thickBot="1" x14ac:dyDescent="0.4">
      <c r="A5" s="190" t="s">
        <v>22</v>
      </c>
      <c r="B5" s="190"/>
      <c r="C5" s="190"/>
      <c r="D5" s="190"/>
      <c r="E5" s="190"/>
      <c r="F5" s="190"/>
      <c r="K5" s="177"/>
      <c r="L5" s="190" t="s">
        <v>30</v>
      </c>
      <c r="M5" s="190"/>
      <c r="N5" s="190"/>
      <c r="O5" s="190"/>
    </row>
    <row r="6" spans="1:15" ht="12.75" customHeight="1" x14ac:dyDescent="0.35">
      <c r="A6" s="198" t="s">
        <v>24</v>
      </c>
      <c r="B6" s="200" t="s">
        <v>25</v>
      </c>
      <c r="C6" s="201"/>
      <c r="D6" s="193"/>
      <c r="E6" s="191" t="s">
        <v>31</v>
      </c>
      <c r="F6" s="191" t="s">
        <v>26</v>
      </c>
      <c r="G6" s="191" t="s">
        <v>27</v>
      </c>
      <c r="H6" s="191" t="s">
        <v>28</v>
      </c>
      <c r="I6" s="206"/>
      <c r="J6" s="14"/>
      <c r="K6" s="177"/>
      <c r="M6" s="21" t="s">
        <v>4</v>
      </c>
      <c r="N6" s="207" t="str">
        <f>A11</f>
        <v>001-1</v>
      </c>
      <c r="O6" s="208"/>
    </row>
    <row r="7" spans="1:15" ht="12.75" customHeight="1" x14ac:dyDescent="0.35">
      <c r="A7" s="199"/>
      <c r="B7" s="202"/>
      <c r="C7" s="203"/>
      <c r="D7" s="194"/>
      <c r="E7" s="192"/>
      <c r="F7" s="192"/>
      <c r="G7" s="192"/>
      <c r="H7" s="192"/>
      <c r="I7" s="188"/>
      <c r="J7" s="14"/>
      <c r="K7" s="177"/>
      <c r="O7" s="20"/>
    </row>
    <row r="8" spans="1:15" ht="12.75" customHeight="1" x14ac:dyDescent="0.35">
      <c r="A8" s="199"/>
      <c r="B8" s="202"/>
      <c r="C8" s="203"/>
      <c r="D8" s="194"/>
      <c r="E8" s="192"/>
      <c r="F8" s="192"/>
      <c r="G8" s="192"/>
      <c r="H8" s="192"/>
      <c r="I8" s="188"/>
      <c r="J8" s="14"/>
      <c r="K8" s="177"/>
      <c r="L8" s="174" t="s">
        <v>33</v>
      </c>
      <c r="M8" s="174"/>
      <c r="N8" s="124"/>
      <c r="O8" s="124"/>
    </row>
    <row r="9" spans="1:15" ht="12.75" customHeight="1" x14ac:dyDescent="0.35">
      <c r="A9" s="199"/>
      <c r="B9" s="202"/>
      <c r="C9" s="203"/>
      <c r="D9" s="194"/>
      <c r="E9" s="192"/>
      <c r="F9" s="192"/>
      <c r="G9" s="192"/>
      <c r="H9" s="192"/>
      <c r="I9" s="188"/>
      <c r="J9" s="14"/>
      <c r="K9" s="177"/>
      <c r="L9" s="182" t="str">
        <f>C14</f>
        <v>Навальный Алексей «ФБК»</v>
      </c>
      <c r="M9" s="183"/>
      <c r="N9" s="183"/>
      <c r="O9" s="183"/>
    </row>
    <row r="10" spans="1:15" ht="12.75" customHeight="1" x14ac:dyDescent="0.35">
      <c r="A10" s="199"/>
      <c r="B10" s="204"/>
      <c r="C10" s="205"/>
      <c r="D10" s="194"/>
      <c r="E10" s="192"/>
      <c r="F10" s="192"/>
      <c r="G10" s="192"/>
      <c r="H10" s="192"/>
      <c r="I10" s="188"/>
      <c r="J10" s="14"/>
      <c r="K10" s="177"/>
      <c r="L10" s="182"/>
      <c r="M10" s="183"/>
      <c r="N10" s="183"/>
      <c r="O10" s="183"/>
    </row>
    <row r="11" spans="1:15" ht="12.75" customHeight="1" x14ac:dyDescent="0.35">
      <c r="A11" s="195" t="str">
        <f>факт!D4</f>
        <v>001-1</v>
      </c>
      <c r="B11" s="178">
        <f>Дано!B4</f>
        <v>43831</v>
      </c>
      <c r="C11" s="179"/>
      <c r="D11" s="186"/>
      <c r="E11" s="186"/>
      <c r="F11" s="186"/>
      <c r="G11" s="197">
        <f>факт!J17</f>
        <v>2500</v>
      </c>
      <c r="H11" s="186"/>
      <c r="I11" s="188"/>
      <c r="J11" s="14"/>
      <c r="K11" s="177"/>
      <c r="L11" s="182"/>
      <c r="M11" s="183"/>
      <c r="N11" s="183"/>
      <c r="O11" s="183"/>
    </row>
    <row r="12" spans="1:15" ht="12.75" customHeight="1" thickBot="1" x14ac:dyDescent="0.4">
      <c r="A12" s="196"/>
      <c r="B12" s="180"/>
      <c r="C12" s="181"/>
      <c r="D12" s="187"/>
      <c r="E12" s="187"/>
      <c r="F12" s="187"/>
      <c r="G12" s="187"/>
      <c r="H12" s="187"/>
      <c r="I12" s="189"/>
      <c r="J12" s="14"/>
      <c r="K12" s="177"/>
      <c r="L12" s="174" t="s">
        <v>2</v>
      </c>
      <c r="M12" s="174"/>
      <c r="N12" s="124"/>
      <c r="O12" s="124"/>
    </row>
    <row r="13" spans="1:15" ht="12.75" customHeight="1" x14ac:dyDescent="0.35">
      <c r="K13" s="177"/>
      <c r="L13" s="182" t="str">
        <f>C17</f>
        <v>Договор №001-01/20 от 01 января 2020 г.</v>
      </c>
      <c r="M13" s="183"/>
      <c r="N13" s="183"/>
      <c r="O13" s="183"/>
    </row>
    <row r="14" spans="1:15" ht="12.75" customHeight="1" x14ac:dyDescent="0.35">
      <c r="A14" s="174" t="s">
        <v>33</v>
      </c>
      <c r="B14" s="174"/>
      <c r="C14" s="175" t="str">
        <f>факт!C7:J7</f>
        <v>Навальный Алексей «ФБК»</v>
      </c>
      <c r="D14" s="175"/>
      <c r="E14" s="175"/>
      <c r="F14" s="175"/>
      <c r="G14" s="175"/>
      <c r="H14" s="175"/>
      <c r="I14" s="176"/>
      <c r="J14" s="25"/>
      <c r="K14" s="177"/>
      <c r="L14" s="182"/>
      <c r="M14" s="183"/>
      <c r="N14" s="183"/>
      <c r="O14" s="183"/>
    </row>
    <row r="15" spans="1:15" ht="12.75" customHeight="1" x14ac:dyDescent="0.35">
      <c r="A15" s="15"/>
      <c r="B15" s="15"/>
      <c r="C15" s="175"/>
      <c r="D15" s="175"/>
      <c r="E15" s="175"/>
      <c r="F15" s="175"/>
      <c r="G15" s="175"/>
      <c r="H15" s="175"/>
      <c r="I15" s="176"/>
      <c r="J15" s="25"/>
      <c r="K15" s="177"/>
      <c r="L15" s="182"/>
      <c r="M15" s="183"/>
      <c r="N15" s="183"/>
      <c r="O15" s="183"/>
    </row>
    <row r="16" spans="1:15" ht="12.75" customHeight="1" x14ac:dyDescent="0.35">
      <c r="A16" s="15"/>
      <c r="B16" s="15"/>
      <c r="K16" s="177"/>
      <c r="L16" s="174" t="s">
        <v>34</v>
      </c>
      <c r="M16" s="174"/>
      <c r="N16" s="124"/>
      <c r="O16" s="124"/>
    </row>
    <row r="17" spans="1:15" ht="12.75" customHeight="1" x14ac:dyDescent="0.35">
      <c r="A17" s="174" t="s">
        <v>2</v>
      </c>
      <c r="B17" s="174"/>
      <c r="C17" s="175" t="str">
        <f>факт!C9:J9</f>
        <v>Договор №001-01/20 от 01 января 2020 г.</v>
      </c>
      <c r="D17" s="175"/>
      <c r="E17" s="175"/>
      <c r="F17" s="175"/>
      <c r="G17" s="175"/>
      <c r="H17" s="175"/>
      <c r="I17" s="176"/>
      <c r="J17" s="25"/>
      <c r="K17" s="177"/>
      <c r="L17" s="182" t="str">
        <f>C20</f>
        <v>Две тысячи пятьсот сом, 00 тыйын</v>
      </c>
      <c r="M17" s="183"/>
      <c r="N17" s="183"/>
      <c r="O17" s="183"/>
    </row>
    <row r="18" spans="1:15" ht="12.75" customHeight="1" x14ac:dyDescent="0.35">
      <c r="A18" s="15"/>
      <c r="B18" s="15"/>
      <c r="C18" s="175"/>
      <c r="D18" s="175"/>
      <c r="E18" s="175"/>
      <c r="F18" s="175"/>
      <c r="G18" s="175"/>
      <c r="H18" s="175"/>
      <c r="I18" s="176"/>
      <c r="J18" s="25"/>
      <c r="K18" s="177"/>
      <c r="L18" s="182"/>
      <c r="M18" s="183"/>
      <c r="N18" s="183"/>
      <c r="O18" s="183"/>
    </row>
    <row r="19" spans="1:15" ht="12.75" customHeight="1" x14ac:dyDescent="0.35">
      <c r="A19" s="15"/>
      <c r="B19" s="15"/>
      <c r="K19" s="177"/>
      <c r="L19" s="182"/>
      <c r="M19" s="183"/>
      <c r="N19" s="183"/>
      <c r="O19" s="183"/>
    </row>
    <row r="20" spans="1:15" ht="12.75" customHeight="1" x14ac:dyDescent="0.35">
      <c r="A20" s="174" t="s">
        <v>34</v>
      </c>
      <c r="B20" s="174"/>
      <c r="C20" s="175" t="str">
        <f>факт!C23:J23</f>
        <v>Две тысячи пятьсот сом, 00 тыйын</v>
      </c>
      <c r="D20" s="175"/>
      <c r="E20" s="175"/>
      <c r="F20" s="175"/>
      <c r="G20" s="175"/>
      <c r="H20" s="175"/>
      <c r="I20" s="176"/>
      <c r="J20" s="25"/>
      <c r="K20" s="177"/>
      <c r="L20" s="19">
        <f>G11</f>
        <v>2500</v>
      </c>
      <c r="M20" s="17" t="s">
        <v>11</v>
      </c>
      <c r="N20" s="18" t="s">
        <v>38</v>
      </c>
      <c r="O20" s="17" t="s">
        <v>37</v>
      </c>
    </row>
    <row r="21" spans="1:15" ht="12.75" customHeight="1" x14ac:dyDescent="0.35">
      <c r="A21" s="15"/>
      <c r="B21" s="15"/>
      <c r="C21" s="175"/>
      <c r="D21" s="175"/>
      <c r="E21" s="175"/>
      <c r="F21" s="175"/>
      <c r="G21" s="175"/>
      <c r="H21" s="175"/>
      <c r="I21" s="176"/>
      <c r="J21" s="25"/>
      <c r="K21" s="177"/>
      <c r="L21" s="27"/>
      <c r="M21" s="27"/>
      <c r="N21" s="16"/>
      <c r="O21" s="16"/>
    </row>
    <row r="22" spans="1:15" ht="12.75" customHeight="1" x14ac:dyDescent="0.35">
      <c r="A22" s="15"/>
      <c r="B22" s="15"/>
      <c r="K22" s="177"/>
    </row>
    <row r="23" spans="1:15" ht="12.75" customHeight="1" x14ac:dyDescent="0.35">
      <c r="A23" s="174" t="s">
        <v>36</v>
      </c>
      <c r="B23" s="174"/>
      <c r="C23" s="175" t="str">
        <f>факт!C15</f>
        <v>Экспертиза и оценка: Транспортное средство Subaru Outback, 08KG848ААА</v>
      </c>
      <c r="D23" s="175"/>
      <c r="E23" s="175"/>
      <c r="F23" s="175"/>
      <c r="G23" s="175"/>
      <c r="H23" s="175"/>
      <c r="I23" s="176"/>
      <c r="J23" s="25"/>
      <c r="K23" s="177"/>
      <c r="L23" s="184" t="str">
        <f>TEXT(B11,"[$-ru-RU-x-genlower]ДД ММММ ГГГГ \г\.;@")</f>
        <v>01 января 2020 г.</v>
      </c>
      <c r="M23" s="184"/>
      <c r="N23" s="185"/>
      <c r="O23" s="185"/>
    </row>
    <row r="24" spans="1:15" ht="12.75" customHeight="1" x14ac:dyDescent="0.35">
      <c r="A24" s="14"/>
      <c r="B24" s="14"/>
      <c r="C24" s="175"/>
      <c r="D24" s="175"/>
      <c r="E24" s="175"/>
      <c r="F24" s="175"/>
      <c r="G24" s="175"/>
      <c r="H24" s="175"/>
      <c r="I24" s="176"/>
      <c r="J24" s="25"/>
      <c r="K24" s="177"/>
    </row>
    <row r="25" spans="1:15" ht="12.75" customHeight="1" x14ac:dyDescent="0.35">
      <c r="A25" s="14"/>
      <c r="B25" s="14"/>
      <c r="C25" s="175"/>
      <c r="D25" s="175"/>
      <c r="E25" s="175"/>
      <c r="F25" s="175"/>
      <c r="G25" s="175"/>
      <c r="H25" s="175"/>
      <c r="I25" s="176"/>
      <c r="J25" s="25"/>
      <c r="K25" s="177"/>
    </row>
    <row r="26" spans="1:15" ht="12.75" customHeight="1" x14ac:dyDescent="0.35">
      <c r="A26" s="14"/>
      <c r="B26" s="14"/>
      <c r="C26" s="175"/>
      <c r="D26" s="175"/>
      <c r="E26" s="175"/>
      <c r="F26" s="175"/>
      <c r="G26" s="175"/>
      <c r="H26" s="175"/>
      <c r="I26" s="176"/>
      <c r="J26" s="25"/>
      <c r="K26" s="177"/>
      <c r="L26" s="8" t="s">
        <v>16</v>
      </c>
    </row>
    <row r="27" spans="1:15" ht="12.75" customHeight="1" x14ac:dyDescent="0.35">
      <c r="A27" s="14"/>
      <c r="B27" s="14"/>
      <c r="C27" s="175"/>
      <c r="D27" s="175"/>
      <c r="E27" s="175"/>
      <c r="F27" s="175"/>
      <c r="G27" s="175"/>
      <c r="H27" s="175"/>
      <c r="I27" s="176"/>
      <c r="J27" s="25"/>
      <c r="K27" s="177"/>
    </row>
    <row r="28" spans="1:15" ht="12.75" customHeight="1" x14ac:dyDescent="0.35">
      <c r="A28" s="14"/>
      <c r="B28" s="14"/>
      <c r="K28" s="177"/>
    </row>
    <row r="29" spans="1:15" ht="12.75" customHeight="1" x14ac:dyDescent="0.35">
      <c r="A29" s="174" t="s">
        <v>35</v>
      </c>
      <c r="B29" s="174"/>
      <c r="C29" s="174"/>
      <c r="D29" s="174"/>
      <c r="E29" s="174"/>
      <c r="F29" s="174"/>
      <c r="G29" s="174"/>
      <c r="H29" s="174"/>
      <c r="I29" s="174"/>
      <c r="J29" s="15"/>
      <c r="K29" s="177"/>
      <c r="L29" s="174" t="s">
        <v>35</v>
      </c>
      <c r="M29" s="174"/>
      <c r="N29" s="124"/>
      <c r="O29" s="124"/>
    </row>
    <row r="30" spans="1:15" ht="12.75" customHeight="1" x14ac:dyDescent="0.35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77"/>
    </row>
    <row r="31" spans="1:15" ht="12.75" customHeight="1" x14ac:dyDescent="0.35">
      <c r="K31" s="26"/>
    </row>
    <row r="32" spans="1:15" ht="12.75" customHeight="1" x14ac:dyDescent="0.35">
      <c r="K32" s="26"/>
    </row>
  </sheetData>
  <mergeCells count="46">
    <mergeCell ref="A1:F1"/>
    <mergeCell ref="A2:F2"/>
    <mergeCell ref="L1:O1"/>
    <mergeCell ref="L2:O2"/>
    <mergeCell ref="L4:O4"/>
    <mergeCell ref="H1:I1"/>
    <mergeCell ref="H4:I4"/>
    <mergeCell ref="H2:I2"/>
    <mergeCell ref="H3:I3"/>
    <mergeCell ref="A5:F5"/>
    <mergeCell ref="L5:O5"/>
    <mergeCell ref="H6:H10"/>
    <mergeCell ref="D6:D10"/>
    <mergeCell ref="A11:A12"/>
    <mergeCell ref="D11:D12"/>
    <mergeCell ref="E11:E12"/>
    <mergeCell ref="F11:F12"/>
    <mergeCell ref="G11:G12"/>
    <mergeCell ref="A6:A10"/>
    <mergeCell ref="B6:C10"/>
    <mergeCell ref="F6:F10"/>
    <mergeCell ref="E6:E10"/>
    <mergeCell ref="G6:G10"/>
    <mergeCell ref="I6:I10"/>
    <mergeCell ref="N6:O6"/>
    <mergeCell ref="L29:O29"/>
    <mergeCell ref="H11:H12"/>
    <mergeCell ref="I11:I12"/>
    <mergeCell ref="L9:O11"/>
    <mergeCell ref="L13:O15"/>
    <mergeCell ref="L8:O8"/>
    <mergeCell ref="C14:I15"/>
    <mergeCell ref="K1:K30"/>
    <mergeCell ref="B11:C12"/>
    <mergeCell ref="A14:B14"/>
    <mergeCell ref="A17:B17"/>
    <mergeCell ref="A20:B20"/>
    <mergeCell ref="A23:B23"/>
    <mergeCell ref="A29:I29"/>
    <mergeCell ref="L12:O12"/>
    <mergeCell ref="L16:O16"/>
    <mergeCell ref="L17:O19"/>
    <mergeCell ref="C23:I27"/>
    <mergeCell ref="C20:I21"/>
    <mergeCell ref="C17:I18"/>
    <mergeCell ref="L23:O23"/>
  </mergeCells>
  <pageMargins left="0.39370078740157483" right="0.39370078740157483" top="0.39370078740157483" bottom="0.39370078740157483" header="0" footer="0"/>
  <pageSetup paperSize="9" scale="99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"/>
  <sheetViews>
    <sheetView view="pageBreakPreview" zoomScaleNormal="100" zoomScaleSheetLayoutView="100" workbookViewId="0">
      <selection activeCell="A2" sqref="A2:D2"/>
    </sheetView>
  </sheetViews>
  <sheetFormatPr defaultColWidth="9.1796875" defaultRowHeight="14" x14ac:dyDescent="0.35"/>
  <cols>
    <col min="1" max="4" width="23.7265625" style="83" customWidth="1"/>
    <col min="5" max="8" width="10.26953125" style="83" customWidth="1"/>
    <col min="9" max="16384" width="9.1796875" style="83"/>
  </cols>
  <sheetData>
    <row r="1" spans="1:8" ht="15" x14ac:dyDescent="0.35">
      <c r="A1" s="215" t="str">
        <f>"Акт о приемке выполненных работ №"&amp;счёт!D4</f>
        <v>Акт о приемке выполненных работ №001-1</v>
      </c>
      <c r="B1" s="215"/>
      <c r="C1" s="215"/>
      <c r="D1" s="215"/>
      <c r="E1" s="82"/>
      <c r="F1" s="82"/>
      <c r="G1" s="82"/>
      <c r="H1" s="82"/>
    </row>
    <row r="2" spans="1:8" x14ac:dyDescent="0.35">
      <c r="A2" s="216" t="str">
        <f ca="1">"от "&amp;TEXT(TODAY(),"[$-ru-RU-x-genlower]ДД ММММ ГГГГ \г\.;@")</f>
        <v>от 29 июня 2020 г.</v>
      </c>
      <c r="B2" s="216"/>
      <c r="C2" s="216"/>
      <c r="D2" s="216"/>
      <c r="E2" s="84"/>
      <c r="F2" s="84"/>
      <c r="G2" s="84"/>
      <c r="H2" s="84"/>
    </row>
    <row r="3" spans="1:8" x14ac:dyDescent="0.35">
      <c r="A3" s="82"/>
      <c r="B3" s="82"/>
      <c r="C3" s="82"/>
      <c r="D3" s="82"/>
      <c r="F3" s="85"/>
      <c r="H3" s="86"/>
    </row>
    <row r="4" spans="1:8" x14ac:dyDescent="0.35">
      <c r="A4" s="87" t="s">
        <v>302</v>
      </c>
      <c r="B4" s="217" t="s">
        <v>303</v>
      </c>
      <c r="C4" s="217"/>
      <c r="D4" s="217"/>
      <c r="E4" s="88"/>
      <c r="F4" s="88"/>
      <c r="G4" s="88"/>
      <c r="H4" s="88"/>
    </row>
    <row r="5" spans="1:8" x14ac:dyDescent="0.35">
      <c r="B5" s="89"/>
      <c r="C5" s="89"/>
      <c r="D5" s="89"/>
      <c r="E5" s="90"/>
      <c r="F5" s="90"/>
      <c r="G5" s="90"/>
      <c r="H5" s="90"/>
    </row>
    <row r="6" spans="1:8" x14ac:dyDescent="0.35">
      <c r="A6" s="87" t="s">
        <v>304</v>
      </c>
      <c r="B6" s="217" t="str">
        <f>Дано!B6</f>
        <v>Навальный Алексей «ФБК»</v>
      </c>
      <c r="C6" s="217"/>
      <c r="D6" s="217"/>
      <c r="E6" s="88"/>
      <c r="F6" s="88"/>
      <c r="G6" s="88"/>
      <c r="H6" s="88"/>
    </row>
    <row r="7" spans="1:8" ht="14.5" thickBot="1" x14ac:dyDescent="0.4">
      <c r="B7" s="89"/>
      <c r="C7" s="89"/>
      <c r="D7" s="89"/>
      <c r="E7" s="90"/>
      <c r="F7" s="90"/>
      <c r="G7" s="90"/>
      <c r="H7" s="90"/>
    </row>
    <row r="8" spans="1:8" s="95" customFormat="1" ht="28" x14ac:dyDescent="0.35">
      <c r="A8" s="91" t="s">
        <v>305</v>
      </c>
      <c r="B8" s="92" t="s">
        <v>313</v>
      </c>
      <c r="C8" s="92" t="s">
        <v>306</v>
      </c>
      <c r="D8" s="93" t="s">
        <v>307</v>
      </c>
      <c r="E8" s="94"/>
      <c r="F8" s="94"/>
      <c r="G8" s="94"/>
      <c r="H8" s="94"/>
    </row>
    <row r="9" spans="1:8" s="95" customFormat="1" x14ac:dyDescent="0.3">
      <c r="A9" s="96" t="str">
        <f>Дано!B2</f>
        <v>001-01/20</v>
      </c>
      <c r="B9" s="97" t="str">
        <f>Дано!B17</f>
        <v>Subaru Outback</v>
      </c>
      <c r="C9" s="97" t="str">
        <f>Дано!B18</f>
        <v>08KG848ААА</v>
      </c>
      <c r="D9" s="98">
        <f>Дано!B13</f>
        <v>2500</v>
      </c>
      <c r="E9" s="94"/>
      <c r="F9" s="94"/>
      <c r="G9" s="94"/>
      <c r="H9" s="94"/>
    </row>
    <row r="10" spans="1:8" s="95" customFormat="1" ht="14.5" thickBot="1" x14ac:dyDescent="0.35">
      <c r="A10" s="218" t="s">
        <v>308</v>
      </c>
      <c r="B10" s="219"/>
      <c r="C10" s="220"/>
      <c r="D10" s="99">
        <f>SUM(D9:D9)</f>
        <v>2500</v>
      </c>
      <c r="E10" s="94"/>
      <c r="F10" s="94"/>
      <c r="G10" s="94"/>
      <c r="H10" s="94"/>
    </row>
    <row r="11" spans="1:8" x14ac:dyDescent="0.35">
      <c r="B11" s="89"/>
      <c r="C11" s="89"/>
      <c r="D11" s="89"/>
      <c r="E11" s="90"/>
      <c r="F11" s="90"/>
      <c r="G11" s="90"/>
      <c r="H11" s="90"/>
    </row>
    <row r="12" spans="1:8" x14ac:dyDescent="0.35">
      <c r="A12" s="100" t="str">
        <f>"Всего оказано услуг на сумму: "&amp;D10&amp;",00 ("&amp;Дано!B14&amp;" сом, 00 тыйын)."</f>
        <v>Всего оказано услуг на сумму: 2500,00 (Две тысячи пятьсот сом, 00 тыйын).</v>
      </c>
      <c r="B12" s="100"/>
      <c r="C12" s="100"/>
      <c r="D12" s="100"/>
      <c r="E12" s="100"/>
      <c r="F12" s="100"/>
      <c r="G12" s="100"/>
      <c r="H12" s="100"/>
    </row>
    <row r="13" spans="1:8" x14ac:dyDescent="0.35">
      <c r="B13" s="89"/>
      <c r="C13" s="89"/>
      <c r="D13" s="89"/>
      <c r="E13" s="101"/>
      <c r="F13" s="101"/>
      <c r="G13" s="101"/>
      <c r="H13" s="101"/>
    </row>
    <row r="14" spans="1:8" x14ac:dyDescent="0.35">
      <c r="A14" s="100" t="s">
        <v>309</v>
      </c>
      <c r="B14" s="100"/>
      <c r="C14" s="100"/>
      <c r="D14" s="100"/>
      <c r="E14" s="100"/>
      <c r="F14" s="100"/>
      <c r="G14" s="100"/>
      <c r="H14" s="100"/>
    </row>
    <row r="15" spans="1:8" x14ac:dyDescent="0.35">
      <c r="B15" s="89"/>
      <c r="C15" s="89"/>
      <c r="D15" s="89"/>
      <c r="E15" s="101"/>
      <c r="F15" s="101"/>
      <c r="G15" s="101"/>
      <c r="H15" s="101"/>
    </row>
    <row r="16" spans="1:8" x14ac:dyDescent="0.35">
      <c r="A16" s="100" t="s">
        <v>310</v>
      </c>
      <c r="B16" s="100"/>
      <c r="C16" s="100"/>
      <c r="D16" s="100"/>
      <c r="E16" s="100"/>
      <c r="F16" s="100"/>
      <c r="G16" s="100"/>
      <c r="H16" s="100"/>
    </row>
    <row r="17" spans="1:8" x14ac:dyDescent="0.35">
      <c r="B17" s="90"/>
      <c r="C17" s="90"/>
      <c r="D17" s="90"/>
      <c r="E17" s="90"/>
      <c r="F17" s="90"/>
      <c r="G17" s="90"/>
      <c r="H17" s="90"/>
    </row>
    <row r="18" spans="1:8" x14ac:dyDescent="0.35">
      <c r="B18" s="90"/>
      <c r="C18" s="90"/>
      <c r="D18" s="90"/>
      <c r="E18" s="90"/>
      <c r="F18" s="90"/>
      <c r="G18" s="90"/>
      <c r="H18" s="90"/>
    </row>
    <row r="19" spans="1:8" x14ac:dyDescent="0.35">
      <c r="A19" s="221" t="s">
        <v>311</v>
      </c>
      <c r="B19" s="221"/>
      <c r="C19" s="221" t="s">
        <v>312</v>
      </c>
      <c r="D19" s="221"/>
      <c r="F19" s="101"/>
      <c r="G19" s="101"/>
      <c r="H19" s="101"/>
    </row>
    <row r="20" spans="1:8" x14ac:dyDescent="0.35">
      <c r="A20" s="214" t="s">
        <v>16</v>
      </c>
      <c r="B20" s="214"/>
      <c r="C20" s="214" t="s">
        <v>16</v>
      </c>
      <c r="D20" s="214"/>
    </row>
    <row r="21" spans="1:8" x14ac:dyDescent="0.35">
      <c r="B21" s="90"/>
      <c r="C21" s="90"/>
      <c r="D21" s="90"/>
      <c r="E21" s="90"/>
      <c r="F21" s="90"/>
      <c r="G21" s="90"/>
      <c r="H21" s="90"/>
    </row>
    <row r="22" spans="1:8" x14ac:dyDescent="0.35">
      <c r="B22" s="89"/>
      <c r="C22" s="89"/>
      <c r="D22" s="89"/>
      <c r="E22" s="90"/>
      <c r="F22" s="90"/>
      <c r="G22" s="90"/>
      <c r="H22" s="90"/>
    </row>
    <row r="23" spans="1:8" x14ac:dyDescent="0.35">
      <c r="B23" s="90"/>
      <c r="C23" s="90"/>
      <c r="D23" s="90"/>
      <c r="E23" s="90"/>
      <c r="F23" s="90"/>
      <c r="G23" s="90"/>
      <c r="H23" s="90"/>
    </row>
    <row r="24" spans="1:8" x14ac:dyDescent="0.35">
      <c r="B24" s="90"/>
      <c r="C24" s="90"/>
      <c r="D24" s="90"/>
      <c r="E24" s="90"/>
      <c r="F24" s="90"/>
      <c r="G24" s="90"/>
      <c r="H24" s="90"/>
    </row>
    <row r="25" spans="1:8" x14ac:dyDescent="0.35">
      <c r="B25" s="90"/>
      <c r="C25" s="90"/>
      <c r="D25" s="90"/>
      <c r="E25" s="90"/>
      <c r="F25" s="90"/>
      <c r="G25" s="90"/>
      <c r="H25" s="90"/>
    </row>
    <row r="26" spans="1:8" x14ac:dyDescent="0.35">
      <c r="B26" s="90"/>
      <c r="C26" s="90"/>
      <c r="D26" s="90"/>
      <c r="E26" s="90"/>
      <c r="F26" s="90"/>
      <c r="G26" s="90"/>
      <c r="H26" s="90"/>
    </row>
    <row r="27" spans="1:8" x14ac:dyDescent="0.35">
      <c r="B27" s="90"/>
      <c r="C27" s="90"/>
      <c r="D27" s="90"/>
      <c r="E27" s="90"/>
      <c r="F27" s="90"/>
      <c r="G27" s="90"/>
      <c r="H27" s="90"/>
    </row>
    <row r="28" spans="1:8" x14ac:dyDescent="0.35">
      <c r="B28" s="90"/>
      <c r="C28" s="90"/>
      <c r="D28" s="90"/>
      <c r="E28" s="90"/>
      <c r="F28" s="90"/>
      <c r="G28" s="90"/>
      <c r="H28" s="90"/>
    </row>
    <row r="29" spans="1:8" x14ac:dyDescent="0.35">
      <c r="B29" s="90"/>
      <c r="C29" s="90"/>
      <c r="D29" s="90"/>
      <c r="E29" s="90"/>
      <c r="F29" s="90"/>
      <c r="G29" s="90"/>
      <c r="H29" s="90"/>
    </row>
    <row r="30" spans="1:8" x14ac:dyDescent="0.35">
      <c r="B30" s="90"/>
      <c r="C30" s="90"/>
      <c r="D30" s="90"/>
      <c r="E30" s="90"/>
      <c r="F30" s="90"/>
      <c r="G30" s="90"/>
      <c r="H30" s="90"/>
    </row>
    <row r="31" spans="1:8" x14ac:dyDescent="0.35">
      <c r="B31" s="90"/>
      <c r="C31" s="90"/>
      <c r="D31" s="90"/>
      <c r="E31" s="90"/>
      <c r="F31" s="90"/>
      <c r="G31" s="90"/>
      <c r="H31" s="90"/>
    </row>
    <row r="32" spans="1:8" x14ac:dyDescent="0.35">
      <c r="B32" s="90"/>
      <c r="C32" s="90"/>
      <c r="D32" s="90"/>
      <c r="E32" s="90"/>
      <c r="F32" s="90"/>
      <c r="G32" s="90"/>
      <c r="H32" s="90"/>
    </row>
    <row r="33" spans="2:8" x14ac:dyDescent="0.35">
      <c r="B33" s="90"/>
      <c r="C33" s="90"/>
      <c r="D33" s="90"/>
      <c r="E33" s="90"/>
      <c r="F33" s="90"/>
      <c r="G33" s="90"/>
      <c r="H33" s="90"/>
    </row>
    <row r="34" spans="2:8" x14ac:dyDescent="0.35">
      <c r="B34" s="90"/>
      <c r="C34" s="90"/>
      <c r="D34" s="90"/>
      <c r="E34" s="90"/>
      <c r="F34" s="90"/>
      <c r="G34" s="90"/>
      <c r="H34" s="90"/>
    </row>
    <row r="35" spans="2:8" x14ac:dyDescent="0.35">
      <c r="B35" s="90"/>
      <c r="C35" s="90"/>
      <c r="D35" s="90"/>
      <c r="E35" s="90"/>
      <c r="F35" s="90"/>
      <c r="G35" s="90"/>
      <c r="H35" s="90"/>
    </row>
    <row r="36" spans="2:8" x14ac:dyDescent="0.35">
      <c r="B36" s="90"/>
      <c r="C36" s="90"/>
      <c r="D36" s="90"/>
      <c r="E36" s="90"/>
      <c r="F36" s="90"/>
      <c r="G36" s="90"/>
      <c r="H36" s="90"/>
    </row>
    <row r="37" spans="2:8" x14ac:dyDescent="0.35">
      <c r="B37" s="90"/>
      <c r="C37" s="90"/>
      <c r="D37" s="90"/>
      <c r="E37" s="90"/>
      <c r="F37" s="90"/>
      <c r="G37" s="90"/>
      <c r="H37" s="90"/>
    </row>
    <row r="38" spans="2:8" x14ac:dyDescent="0.35">
      <c r="B38" s="90"/>
      <c r="C38" s="90"/>
      <c r="D38" s="90"/>
      <c r="E38" s="90"/>
      <c r="F38" s="90"/>
      <c r="G38" s="90"/>
      <c r="H38" s="90"/>
    </row>
    <row r="39" spans="2:8" x14ac:dyDescent="0.35">
      <c r="B39" s="90"/>
      <c r="C39" s="90"/>
      <c r="D39" s="90"/>
      <c r="E39" s="90"/>
      <c r="F39" s="90"/>
      <c r="G39" s="90"/>
      <c r="H39" s="90"/>
    </row>
    <row r="40" spans="2:8" x14ac:dyDescent="0.35">
      <c r="B40" s="90"/>
      <c r="C40" s="90"/>
      <c r="D40" s="90"/>
      <c r="E40" s="90"/>
      <c r="F40" s="90"/>
      <c r="G40" s="90"/>
      <c r="H40" s="90"/>
    </row>
    <row r="41" spans="2:8" x14ac:dyDescent="0.35">
      <c r="B41" s="90"/>
      <c r="C41" s="90"/>
      <c r="D41" s="90"/>
      <c r="E41" s="90"/>
      <c r="F41" s="90"/>
      <c r="G41" s="90"/>
      <c r="H41" s="90"/>
    </row>
    <row r="42" spans="2:8" x14ac:dyDescent="0.35">
      <c r="B42" s="90"/>
      <c r="C42" s="90"/>
      <c r="D42" s="90"/>
      <c r="E42" s="90"/>
      <c r="F42" s="90"/>
      <c r="G42" s="90"/>
      <c r="H42" s="90"/>
    </row>
    <row r="43" spans="2:8" x14ac:dyDescent="0.35">
      <c r="B43" s="90"/>
      <c r="C43" s="90"/>
      <c r="D43" s="90"/>
      <c r="E43" s="90"/>
      <c r="F43" s="90"/>
      <c r="G43" s="90"/>
      <c r="H43" s="90"/>
    </row>
    <row r="44" spans="2:8" x14ac:dyDescent="0.35">
      <c r="B44" s="90"/>
      <c r="C44" s="90"/>
      <c r="D44" s="90"/>
      <c r="E44" s="90"/>
      <c r="F44" s="90"/>
      <c r="G44" s="90"/>
      <c r="H44" s="90"/>
    </row>
    <row r="45" spans="2:8" x14ac:dyDescent="0.35">
      <c r="B45" s="90"/>
      <c r="C45" s="90"/>
      <c r="D45" s="90"/>
      <c r="E45" s="90"/>
      <c r="F45" s="90"/>
      <c r="G45" s="90"/>
      <c r="H45" s="90"/>
    </row>
    <row r="46" spans="2:8" x14ac:dyDescent="0.35">
      <c r="B46" s="90"/>
      <c r="C46" s="90"/>
      <c r="D46" s="90"/>
      <c r="E46" s="90"/>
      <c r="F46" s="90"/>
      <c r="G46" s="90"/>
      <c r="H46" s="90"/>
    </row>
    <row r="47" spans="2:8" x14ac:dyDescent="0.35">
      <c r="B47" s="90"/>
      <c r="C47" s="90"/>
      <c r="D47" s="90"/>
      <c r="E47" s="90"/>
      <c r="F47" s="90"/>
      <c r="G47" s="90"/>
      <c r="H47" s="90"/>
    </row>
    <row r="48" spans="2:8" x14ac:dyDescent="0.35">
      <c r="B48" s="90"/>
      <c r="C48" s="90"/>
      <c r="D48" s="90"/>
      <c r="E48" s="90"/>
      <c r="F48" s="90"/>
      <c r="G48" s="90"/>
      <c r="H48" s="90"/>
    </row>
    <row r="49" spans="2:8" x14ac:dyDescent="0.35">
      <c r="B49" s="90"/>
      <c r="C49" s="90"/>
      <c r="D49" s="90"/>
      <c r="E49" s="90"/>
      <c r="F49" s="90"/>
      <c r="G49" s="90"/>
      <c r="H49" s="90"/>
    </row>
    <row r="50" spans="2:8" x14ac:dyDescent="0.35">
      <c r="B50" s="90"/>
      <c r="C50" s="90"/>
      <c r="D50" s="90"/>
      <c r="E50" s="90"/>
      <c r="F50" s="90"/>
      <c r="G50" s="90"/>
      <c r="H50" s="90"/>
    </row>
    <row r="51" spans="2:8" x14ac:dyDescent="0.35">
      <c r="B51" s="90"/>
      <c r="C51" s="90"/>
      <c r="D51" s="90"/>
      <c r="E51" s="90"/>
      <c r="F51" s="90"/>
      <c r="G51" s="90"/>
      <c r="H51" s="90"/>
    </row>
    <row r="52" spans="2:8" x14ac:dyDescent="0.35">
      <c r="B52" s="90"/>
      <c r="C52" s="90"/>
      <c r="D52" s="90"/>
      <c r="E52" s="90"/>
      <c r="F52" s="90"/>
      <c r="G52" s="90"/>
      <c r="H52" s="90"/>
    </row>
    <row r="53" spans="2:8" x14ac:dyDescent="0.35">
      <c r="B53" s="90"/>
      <c r="C53" s="90"/>
      <c r="D53" s="90"/>
      <c r="E53" s="90"/>
      <c r="F53" s="90"/>
      <c r="G53" s="90"/>
      <c r="H53" s="90"/>
    </row>
    <row r="54" spans="2:8" x14ac:dyDescent="0.35">
      <c r="B54" s="90"/>
      <c r="C54" s="90"/>
      <c r="D54" s="90"/>
      <c r="E54" s="90"/>
      <c r="F54" s="90"/>
      <c r="G54" s="90"/>
      <c r="H54" s="90"/>
    </row>
    <row r="55" spans="2:8" x14ac:dyDescent="0.35">
      <c r="B55" s="90"/>
      <c r="C55" s="90"/>
      <c r="D55" s="90"/>
      <c r="E55" s="90"/>
      <c r="F55" s="90"/>
      <c r="G55" s="90"/>
      <c r="H55" s="90"/>
    </row>
    <row r="56" spans="2:8" x14ac:dyDescent="0.35">
      <c r="B56" s="90"/>
      <c r="C56" s="90"/>
      <c r="D56" s="90"/>
      <c r="E56" s="90"/>
      <c r="F56" s="90"/>
      <c r="G56" s="90"/>
      <c r="H56" s="90"/>
    </row>
    <row r="57" spans="2:8" x14ac:dyDescent="0.35">
      <c r="B57" s="90"/>
      <c r="C57" s="90"/>
      <c r="D57" s="90"/>
      <c r="E57" s="90"/>
      <c r="F57" s="90"/>
      <c r="G57" s="90"/>
      <c r="H57" s="90"/>
    </row>
  </sheetData>
  <mergeCells count="9">
    <mergeCell ref="A20:B20"/>
    <mergeCell ref="C20:D20"/>
    <mergeCell ref="A1:D1"/>
    <mergeCell ref="A2:D2"/>
    <mergeCell ref="B4:D4"/>
    <mergeCell ref="B6:D6"/>
    <mergeCell ref="A10:C10"/>
    <mergeCell ref="A19:B19"/>
    <mergeCell ref="C19:D19"/>
  </mergeCells>
  <pageMargins left="0.39370078740157483" right="0.39370078740157483" top="0.39370078740157483" bottom="0.39370078740157483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10"/>
  <sheetViews>
    <sheetView workbookViewId="0">
      <selection activeCell="A2" sqref="A2"/>
    </sheetView>
  </sheetViews>
  <sheetFormatPr defaultColWidth="9.26953125" defaultRowHeight="14.5" x14ac:dyDescent="0.35"/>
  <cols>
    <col min="1" max="1" width="3" style="28" bestFit="1" customWidth="1"/>
    <col min="2" max="2" width="56.26953125" style="28" bestFit="1" customWidth="1"/>
    <col min="3" max="3" width="7" style="28" bestFit="1" customWidth="1"/>
    <col min="4" max="4" width="11.26953125" style="28" bestFit="1" customWidth="1"/>
    <col min="5" max="5" width="11.54296875" style="28" bestFit="1" customWidth="1"/>
    <col min="6" max="6" width="9.26953125" style="28"/>
    <col min="7" max="12" width="11.7265625" style="28" customWidth="1"/>
    <col min="13" max="16384" width="9.26953125" style="28"/>
  </cols>
  <sheetData>
    <row r="1" spans="1:12" x14ac:dyDescent="0.35">
      <c r="A1" s="46" t="s">
        <v>4</v>
      </c>
      <c r="B1" s="46" t="s">
        <v>314</v>
      </c>
      <c r="C1" s="46" t="s">
        <v>56</v>
      </c>
      <c r="D1" s="46" t="s">
        <v>57</v>
      </c>
      <c r="E1" s="46" t="s">
        <v>58</v>
      </c>
      <c r="F1" s="42"/>
      <c r="G1" s="43" t="s">
        <v>105</v>
      </c>
      <c r="H1" s="43" t="s">
        <v>106</v>
      </c>
      <c r="I1" s="43" t="s">
        <v>107</v>
      </c>
      <c r="J1" s="43" t="s">
        <v>277</v>
      </c>
      <c r="K1" s="43" t="s">
        <v>108</v>
      </c>
      <c r="L1" s="43" t="s">
        <v>109</v>
      </c>
    </row>
    <row r="2" spans="1:12" x14ac:dyDescent="0.35">
      <c r="A2" s="31"/>
      <c r="B2" s="31"/>
      <c r="C2" s="31"/>
      <c r="D2" s="31"/>
      <c r="E2" s="29"/>
      <c r="G2" s="45">
        <v>0</v>
      </c>
      <c r="H2" s="45">
        <v>0</v>
      </c>
      <c r="I2" s="45">
        <v>0</v>
      </c>
      <c r="J2" s="45">
        <f>УТС!E27</f>
        <v>0</v>
      </c>
      <c r="K2" s="48">
        <f>G2+H2+I2</f>
        <v>0</v>
      </c>
      <c r="L2" s="44">
        <f>ROUND(K2/Дано!B32,2)</f>
        <v>0</v>
      </c>
    </row>
    <row r="3" spans="1:12" x14ac:dyDescent="0.35">
      <c r="A3" s="31"/>
      <c r="B3" s="31"/>
      <c r="C3" s="31"/>
      <c r="D3" s="31"/>
      <c r="E3" s="29"/>
    </row>
    <row r="4" spans="1:12" x14ac:dyDescent="0.35">
      <c r="A4" s="31"/>
      <c r="B4" s="31"/>
      <c r="C4" s="31"/>
      <c r="D4" s="31"/>
      <c r="E4" s="29"/>
    </row>
    <row r="5" spans="1:12" x14ac:dyDescent="0.35">
      <c r="A5" s="31"/>
      <c r="B5" s="31"/>
      <c r="C5" s="31"/>
      <c r="D5" s="31"/>
      <c r="E5" s="29"/>
    </row>
    <row r="6" spans="1:12" x14ac:dyDescent="0.35">
      <c r="A6" s="31"/>
      <c r="B6" s="31"/>
      <c r="C6" s="31"/>
      <c r="D6" s="31"/>
      <c r="E6" s="29"/>
    </row>
    <row r="7" spans="1:12" x14ac:dyDescent="0.35">
      <c r="A7" s="31"/>
      <c r="B7" s="31"/>
      <c r="C7" s="31"/>
      <c r="D7" s="31"/>
      <c r="E7" s="29"/>
    </row>
    <row r="8" spans="1:12" x14ac:dyDescent="0.35">
      <c r="A8" s="31"/>
      <c r="B8" s="31"/>
      <c r="C8" s="31"/>
      <c r="D8" s="31"/>
      <c r="E8" s="29"/>
    </row>
    <row r="9" spans="1:12" x14ac:dyDescent="0.35">
      <c r="A9" s="31"/>
      <c r="B9" s="31"/>
      <c r="C9" s="31"/>
      <c r="D9" s="31"/>
      <c r="E9" s="29"/>
    </row>
    <row r="10" spans="1:12" x14ac:dyDescent="0.35">
      <c r="A10" s="31"/>
      <c r="B10" s="31"/>
      <c r="C10" s="31"/>
      <c r="D10" s="31"/>
      <c r="E10" s="29"/>
    </row>
    <row r="11" spans="1:12" x14ac:dyDescent="0.35">
      <c r="A11" s="31"/>
      <c r="B11" s="31"/>
      <c r="C11" s="31"/>
      <c r="D11" s="31"/>
      <c r="E11" s="29"/>
    </row>
    <row r="12" spans="1:12" x14ac:dyDescent="0.35">
      <c r="A12" s="31"/>
      <c r="B12" s="31"/>
      <c r="C12" s="31"/>
      <c r="D12" s="31"/>
      <c r="E12" s="29"/>
    </row>
    <row r="13" spans="1:12" x14ac:dyDescent="0.35">
      <c r="A13" s="31"/>
      <c r="B13" s="31"/>
      <c r="C13" s="31"/>
      <c r="D13" s="31"/>
      <c r="E13" s="29"/>
    </row>
    <row r="14" spans="1:12" x14ac:dyDescent="0.35">
      <c r="A14" s="31"/>
      <c r="B14" s="31"/>
      <c r="C14" s="31"/>
      <c r="D14" s="31"/>
      <c r="E14" s="29"/>
    </row>
    <row r="15" spans="1:12" x14ac:dyDescent="0.35">
      <c r="A15" s="31"/>
      <c r="B15" s="31"/>
      <c r="C15" s="31"/>
      <c r="D15" s="31"/>
      <c r="E15" s="29"/>
    </row>
    <row r="16" spans="1:12" x14ac:dyDescent="0.35">
      <c r="A16" s="31"/>
      <c r="B16" s="31"/>
      <c r="C16" s="31"/>
      <c r="D16" s="31"/>
      <c r="E16" s="29"/>
      <c r="G16" s="38"/>
    </row>
    <row r="17" spans="1:5" x14ac:dyDescent="0.35">
      <c r="A17" s="31"/>
      <c r="B17" s="31"/>
      <c r="C17" s="31"/>
      <c r="D17" s="31"/>
      <c r="E17" s="29"/>
    </row>
    <row r="18" spans="1:5" x14ac:dyDescent="0.35">
      <c r="A18" s="31"/>
      <c r="B18" s="31"/>
      <c r="C18" s="31"/>
      <c r="D18" s="31"/>
      <c r="E18" s="29"/>
    </row>
    <row r="19" spans="1:5" x14ac:dyDescent="0.35">
      <c r="A19" s="31"/>
      <c r="B19" s="31"/>
      <c r="C19" s="31"/>
      <c r="D19" s="31"/>
      <c r="E19" s="29"/>
    </row>
    <row r="20" spans="1:5" x14ac:dyDescent="0.35">
      <c r="A20" s="31"/>
      <c r="B20" s="31"/>
      <c r="C20" s="31"/>
      <c r="D20" s="31"/>
      <c r="E20" s="29"/>
    </row>
    <row r="21" spans="1:5" x14ac:dyDescent="0.35">
      <c r="A21" s="31"/>
      <c r="B21" s="31"/>
      <c r="C21" s="31"/>
      <c r="D21" s="31"/>
      <c r="E21" s="29"/>
    </row>
    <row r="22" spans="1:5" x14ac:dyDescent="0.35">
      <c r="A22" s="31"/>
      <c r="B22" s="31"/>
      <c r="C22" s="31"/>
      <c r="D22" s="31"/>
      <c r="E22" s="29"/>
    </row>
    <row r="23" spans="1:5" x14ac:dyDescent="0.35">
      <c r="A23" s="31"/>
      <c r="B23" s="31"/>
      <c r="C23" s="31"/>
      <c r="D23" s="31"/>
      <c r="E23" s="29"/>
    </row>
    <row r="24" spans="1:5" x14ac:dyDescent="0.35">
      <c r="A24" s="31"/>
      <c r="B24" s="31"/>
      <c r="C24" s="31"/>
      <c r="D24" s="31"/>
      <c r="E24" s="29"/>
    </row>
    <row r="25" spans="1:5" x14ac:dyDescent="0.35">
      <c r="A25" s="31"/>
      <c r="B25" s="31"/>
      <c r="C25" s="31"/>
      <c r="D25" s="31"/>
      <c r="E25" s="29"/>
    </row>
    <row r="26" spans="1:5" x14ac:dyDescent="0.35">
      <c r="A26" s="31"/>
      <c r="B26" s="31"/>
      <c r="C26" s="31"/>
      <c r="D26" s="31"/>
      <c r="E26" s="29"/>
    </row>
    <row r="27" spans="1:5" x14ac:dyDescent="0.35">
      <c r="A27" s="31"/>
      <c r="B27" s="31"/>
      <c r="C27" s="31"/>
      <c r="D27" s="31"/>
      <c r="E27" s="29"/>
    </row>
    <row r="28" spans="1:5" x14ac:dyDescent="0.35">
      <c r="A28" s="31"/>
      <c r="B28" s="31"/>
      <c r="C28" s="31"/>
      <c r="D28" s="31"/>
      <c r="E28" s="29"/>
    </row>
    <row r="29" spans="1:5" x14ac:dyDescent="0.35">
      <c r="A29" s="31"/>
      <c r="B29" s="31"/>
      <c r="C29" s="31"/>
      <c r="D29" s="31"/>
      <c r="E29" s="29"/>
    </row>
    <row r="30" spans="1:5" x14ac:dyDescent="0.35">
      <c r="A30" s="31"/>
      <c r="B30" s="31"/>
      <c r="C30" s="31"/>
      <c r="D30" s="31"/>
      <c r="E30" s="29"/>
    </row>
    <row r="31" spans="1:5" x14ac:dyDescent="0.35">
      <c r="A31" s="31"/>
      <c r="B31" s="31"/>
      <c r="C31" s="31"/>
      <c r="D31" s="31"/>
      <c r="E31" s="29"/>
    </row>
    <row r="32" spans="1:5" x14ac:dyDescent="0.35">
      <c r="A32" s="31"/>
      <c r="B32" s="31"/>
      <c r="C32" s="31"/>
      <c r="D32" s="31"/>
      <c r="E32" s="29"/>
    </row>
    <row r="33" spans="1:5" x14ac:dyDescent="0.35">
      <c r="A33" s="31"/>
      <c r="B33" s="31"/>
      <c r="C33" s="31"/>
      <c r="D33" s="31"/>
      <c r="E33" s="29"/>
    </row>
    <row r="34" spans="1:5" x14ac:dyDescent="0.35">
      <c r="A34" s="31"/>
      <c r="B34" s="31"/>
      <c r="C34" s="31"/>
      <c r="D34" s="31"/>
      <c r="E34" s="29"/>
    </row>
    <row r="35" spans="1:5" x14ac:dyDescent="0.35">
      <c r="A35" s="31"/>
      <c r="B35" s="31"/>
      <c r="C35" s="31"/>
      <c r="D35" s="31"/>
      <c r="E35" s="29"/>
    </row>
    <row r="36" spans="1:5" x14ac:dyDescent="0.35">
      <c r="A36" s="31"/>
      <c r="B36" s="31"/>
      <c r="C36" s="31"/>
      <c r="D36" s="31"/>
      <c r="E36" s="29"/>
    </row>
    <row r="37" spans="1:5" x14ac:dyDescent="0.35">
      <c r="A37" s="31"/>
      <c r="B37" s="31"/>
      <c r="C37" s="31"/>
      <c r="D37" s="31"/>
      <c r="E37" s="29"/>
    </row>
    <row r="38" spans="1:5" x14ac:dyDescent="0.35">
      <c r="A38" s="31"/>
      <c r="B38" s="31"/>
      <c r="C38" s="31"/>
      <c r="D38" s="31"/>
      <c r="E38" s="29"/>
    </row>
    <row r="39" spans="1:5" x14ac:dyDescent="0.35">
      <c r="A39" s="31"/>
      <c r="B39" s="31"/>
      <c r="C39" s="31"/>
      <c r="D39" s="31"/>
      <c r="E39" s="29"/>
    </row>
    <row r="40" spans="1:5" x14ac:dyDescent="0.35">
      <c r="A40" s="31"/>
      <c r="B40" s="31"/>
      <c r="C40" s="31"/>
      <c r="D40" s="31"/>
      <c r="E40" s="29"/>
    </row>
    <row r="41" spans="1:5" x14ac:dyDescent="0.35">
      <c r="A41" s="31"/>
      <c r="B41" s="31"/>
      <c r="C41" s="31"/>
      <c r="D41" s="31"/>
      <c r="E41" s="29"/>
    </row>
    <row r="42" spans="1:5" x14ac:dyDescent="0.35">
      <c r="A42" s="31"/>
      <c r="B42" s="31"/>
      <c r="C42" s="31"/>
      <c r="D42" s="31"/>
      <c r="E42" s="29"/>
    </row>
    <row r="43" spans="1:5" x14ac:dyDescent="0.35">
      <c r="A43" s="31"/>
      <c r="B43" s="31"/>
      <c r="C43" s="31"/>
      <c r="D43" s="31"/>
      <c r="E43" s="29"/>
    </row>
    <row r="44" spans="1:5" x14ac:dyDescent="0.35">
      <c r="A44" s="31"/>
      <c r="B44" s="31"/>
      <c r="C44" s="31"/>
      <c r="D44" s="31"/>
      <c r="E44" s="29"/>
    </row>
    <row r="45" spans="1:5" x14ac:dyDescent="0.35">
      <c r="A45" s="31"/>
      <c r="B45" s="31"/>
      <c r="C45" s="31"/>
      <c r="D45" s="31"/>
      <c r="E45" s="29"/>
    </row>
    <row r="46" spans="1:5" x14ac:dyDescent="0.35">
      <c r="A46" s="31"/>
      <c r="B46" s="31"/>
      <c r="C46" s="31"/>
      <c r="D46" s="31"/>
      <c r="E46" s="29"/>
    </row>
    <row r="47" spans="1:5" x14ac:dyDescent="0.35">
      <c r="A47" s="31"/>
      <c r="B47" s="31"/>
      <c r="C47" s="31"/>
      <c r="D47" s="31"/>
      <c r="E47" s="29"/>
    </row>
    <row r="48" spans="1:5" x14ac:dyDescent="0.35">
      <c r="A48" s="31"/>
      <c r="B48" s="31"/>
      <c r="C48" s="31"/>
      <c r="D48" s="31"/>
      <c r="E48" s="29"/>
    </row>
    <row r="49" spans="1:5" x14ac:dyDescent="0.35">
      <c r="A49" s="31"/>
      <c r="B49" s="31"/>
      <c r="C49" s="31"/>
      <c r="D49" s="31"/>
      <c r="E49" s="29"/>
    </row>
    <row r="50" spans="1:5" x14ac:dyDescent="0.35">
      <c r="A50" s="31"/>
      <c r="B50" s="31"/>
      <c r="C50" s="31"/>
      <c r="D50" s="31"/>
      <c r="E50" s="29"/>
    </row>
    <row r="51" spans="1:5" x14ac:dyDescent="0.35">
      <c r="A51" s="31"/>
      <c r="B51" s="31"/>
      <c r="C51" s="31"/>
      <c r="D51" s="31"/>
      <c r="E51" s="29"/>
    </row>
    <row r="52" spans="1:5" x14ac:dyDescent="0.35">
      <c r="A52" s="31"/>
      <c r="B52" s="31"/>
      <c r="C52" s="31"/>
      <c r="D52" s="31"/>
      <c r="E52" s="29"/>
    </row>
    <row r="53" spans="1:5" x14ac:dyDescent="0.35">
      <c r="A53" s="31"/>
      <c r="B53" s="31"/>
      <c r="C53" s="31"/>
      <c r="D53" s="31"/>
      <c r="E53" s="29"/>
    </row>
    <row r="54" spans="1:5" x14ac:dyDescent="0.35">
      <c r="A54" s="31"/>
      <c r="B54" s="31"/>
      <c r="C54" s="31"/>
      <c r="D54" s="31"/>
      <c r="E54" s="29"/>
    </row>
    <row r="55" spans="1:5" x14ac:dyDescent="0.35">
      <c r="A55" s="31"/>
      <c r="B55" s="31"/>
      <c r="C55" s="31"/>
      <c r="D55" s="31"/>
      <c r="E55" s="29"/>
    </row>
    <row r="56" spans="1:5" x14ac:dyDescent="0.35">
      <c r="A56" s="31"/>
      <c r="B56" s="31"/>
      <c r="C56" s="31"/>
      <c r="D56" s="31"/>
      <c r="E56" s="29"/>
    </row>
    <row r="57" spans="1:5" x14ac:dyDescent="0.35">
      <c r="A57" s="31"/>
      <c r="B57" s="31"/>
      <c r="C57" s="31"/>
      <c r="D57" s="31"/>
      <c r="E57" s="29"/>
    </row>
    <row r="58" spans="1:5" x14ac:dyDescent="0.35">
      <c r="A58" s="31"/>
      <c r="B58" s="31"/>
      <c r="C58" s="31"/>
      <c r="D58" s="31"/>
      <c r="E58" s="29"/>
    </row>
    <row r="59" spans="1:5" x14ac:dyDescent="0.35">
      <c r="A59" s="31"/>
      <c r="B59" s="31"/>
      <c r="C59" s="31"/>
      <c r="D59" s="31"/>
      <c r="E59" s="29"/>
    </row>
    <row r="60" spans="1:5" x14ac:dyDescent="0.35">
      <c r="A60" s="31"/>
      <c r="B60" s="31"/>
      <c r="C60" s="31"/>
      <c r="D60" s="31"/>
      <c r="E60" s="29"/>
    </row>
    <row r="61" spans="1:5" x14ac:dyDescent="0.35">
      <c r="A61" s="31"/>
      <c r="B61" s="31"/>
      <c r="C61" s="31"/>
      <c r="D61" s="31"/>
      <c r="E61" s="29"/>
    </row>
    <row r="62" spans="1:5" x14ac:dyDescent="0.35">
      <c r="A62" s="31"/>
      <c r="B62" s="31"/>
      <c r="C62" s="31"/>
      <c r="D62" s="31"/>
      <c r="E62" s="29"/>
    </row>
    <row r="63" spans="1:5" x14ac:dyDescent="0.35">
      <c r="A63" s="31"/>
      <c r="B63" s="31"/>
      <c r="C63" s="31"/>
      <c r="D63" s="31"/>
      <c r="E63" s="29"/>
    </row>
    <row r="64" spans="1:5" x14ac:dyDescent="0.35">
      <c r="A64" s="31"/>
      <c r="B64" s="31"/>
      <c r="C64" s="31"/>
      <c r="D64" s="31"/>
      <c r="E64" s="29"/>
    </row>
    <row r="65" spans="1:5" x14ac:dyDescent="0.35">
      <c r="A65" s="31"/>
      <c r="B65" s="31"/>
      <c r="C65" s="31"/>
      <c r="D65" s="31"/>
      <c r="E65" s="29"/>
    </row>
    <row r="66" spans="1:5" x14ac:dyDescent="0.35">
      <c r="A66" s="31"/>
      <c r="B66" s="31"/>
      <c r="C66" s="31"/>
      <c r="D66" s="31"/>
      <c r="E66" s="29"/>
    </row>
    <row r="67" spans="1:5" x14ac:dyDescent="0.35">
      <c r="A67" s="31"/>
      <c r="B67" s="31"/>
      <c r="C67" s="31"/>
      <c r="D67" s="31"/>
      <c r="E67" s="29"/>
    </row>
    <row r="68" spans="1:5" x14ac:dyDescent="0.35">
      <c r="A68" s="31"/>
      <c r="B68" s="31"/>
      <c r="C68" s="31"/>
      <c r="D68" s="31"/>
      <c r="E68" s="29"/>
    </row>
    <row r="69" spans="1:5" x14ac:dyDescent="0.35">
      <c r="A69" s="31"/>
      <c r="B69" s="31"/>
      <c r="C69" s="31"/>
      <c r="D69" s="31"/>
      <c r="E69" s="29"/>
    </row>
    <row r="70" spans="1:5" x14ac:dyDescent="0.35">
      <c r="A70" s="31"/>
      <c r="B70" s="31"/>
      <c r="C70" s="31"/>
      <c r="D70" s="31"/>
      <c r="E70" s="29"/>
    </row>
    <row r="71" spans="1:5" x14ac:dyDescent="0.35">
      <c r="A71" s="31"/>
      <c r="B71" s="31"/>
      <c r="C71" s="31"/>
      <c r="D71" s="31"/>
      <c r="E71" s="29"/>
    </row>
    <row r="72" spans="1:5" x14ac:dyDescent="0.35">
      <c r="A72" s="31"/>
      <c r="B72" s="31"/>
      <c r="C72" s="31"/>
      <c r="D72" s="31"/>
      <c r="E72" s="29"/>
    </row>
    <row r="73" spans="1:5" x14ac:dyDescent="0.35">
      <c r="A73" s="31"/>
      <c r="B73" s="31"/>
      <c r="C73" s="31"/>
      <c r="D73" s="31"/>
      <c r="E73" s="29"/>
    </row>
    <row r="74" spans="1:5" x14ac:dyDescent="0.35">
      <c r="A74" s="31"/>
      <c r="B74" s="31"/>
      <c r="C74" s="31"/>
      <c r="D74" s="31"/>
      <c r="E74" s="29"/>
    </row>
    <row r="75" spans="1:5" x14ac:dyDescent="0.35">
      <c r="A75" s="31"/>
      <c r="B75" s="31"/>
      <c r="C75" s="31"/>
      <c r="D75" s="31"/>
      <c r="E75" s="29"/>
    </row>
    <row r="76" spans="1:5" x14ac:dyDescent="0.35">
      <c r="A76" s="31"/>
      <c r="B76" s="31"/>
      <c r="C76" s="31"/>
      <c r="D76" s="31"/>
      <c r="E76" s="29"/>
    </row>
    <row r="77" spans="1:5" x14ac:dyDescent="0.35">
      <c r="A77" s="31"/>
      <c r="B77" s="31"/>
      <c r="C77" s="31"/>
      <c r="D77" s="31"/>
      <c r="E77" s="29"/>
    </row>
    <row r="78" spans="1:5" x14ac:dyDescent="0.35">
      <c r="A78" s="31"/>
      <c r="B78" s="31"/>
      <c r="C78" s="31"/>
      <c r="D78" s="31"/>
      <c r="E78" s="29"/>
    </row>
    <row r="79" spans="1:5" x14ac:dyDescent="0.35">
      <c r="A79" s="31"/>
      <c r="B79" s="31"/>
      <c r="C79" s="31"/>
      <c r="D79" s="31"/>
      <c r="E79" s="29"/>
    </row>
    <row r="80" spans="1:5" x14ac:dyDescent="0.35">
      <c r="A80" s="31"/>
      <c r="B80" s="31"/>
      <c r="C80" s="31"/>
      <c r="D80" s="31"/>
      <c r="E80" s="29"/>
    </row>
    <row r="81" spans="1:5" x14ac:dyDescent="0.35">
      <c r="A81" s="31"/>
      <c r="B81" s="31"/>
      <c r="C81" s="31"/>
      <c r="D81" s="31"/>
      <c r="E81" s="29"/>
    </row>
    <row r="82" spans="1:5" x14ac:dyDescent="0.35">
      <c r="A82" s="31"/>
      <c r="B82" s="31"/>
      <c r="C82" s="31"/>
      <c r="D82" s="31"/>
      <c r="E82" s="29"/>
    </row>
    <row r="83" spans="1:5" x14ac:dyDescent="0.35">
      <c r="A83" s="31"/>
      <c r="B83" s="31"/>
      <c r="C83" s="31"/>
      <c r="D83" s="31"/>
      <c r="E83" s="29"/>
    </row>
    <row r="84" spans="1:5" x14ac:dyDescent="0.35">
      <c r="A84" s="31"/>
      <c r="B84" s="31"/>
      <c r="C84" s="31"/>
      <c r="D84" s="31"/>
      <c r="E84" s="29"/>
    </row>
    <row r="85" spans="1:5" x14ac:dyDescent="0.35">
      <c r="A85" s="31"/>
      <c r="B85" s="31"/>
      <c r="C85" s="31"/>
      <c r="D85" s="31"/>
      <c r="E85" s="29"/>
    </row>
    <row r="86" spans="1:5" x14ac:dyDescent="0.35">
      <c r="A86" s="31"/>
      <c r="B86" s="31"/>
      <c r="C86" s="31"/>
      <c r="D86" s="31"/>
      <c r="E86" s="29"/>
    </row>
    <row r="87" spans="1:5" x14ac:dyDescent="0.35">
      <c r="A87" s="31"/>
      <c r="B87" s="31"/>
      <c r="C87" s="31"/>
      <c r="D87" s="31"/>
      <c r="E87" s="29"/>
    </row>
    <row r="88" spans="1:5" x14ac:dyDescent="0.35">
      <c r="A88" s="31"/>
      <c r="B88" s="31"/>
      <c r="C88" s="31"/>
      <c r="D88" s="31"/>
      <c r="E88" s="29"/>
    </row>
    <row r="89" spans="1:5" x14ac:dyDescent="0.35">
      <c r="A89" s="31"/>
      <c r="B89" s="31"/>
      <c r="C89" s="31"/>
      <c r="D89" s="31"/>
      <c r="E89" s="29"/>
    </row>
    <row r="90" spans="1:5" x14ac:dyDescent="0.35">
      <c r="A90" s="31"/>
      <c r="B90" s="31"/>
      <c r="C90" s="31"/>
      <c r="D90" s="31"/>
      <c r="E90" s="29"/>
    </row>
    <row r="91" spans="1:5" x14ac:dyDescent="0.35">
      <c r="A91" s="31"/>
      <c r="B91" s="31"/>
      <c r="C91" s="31"/>
      <c r="D91" s="31"/>
      <c r="E91" s="29"/>
    </row>
    <row r="92" spans="1:5" x14ac:dyDescent="0.35">
      <c r="A92" s="31"/>
      <c r="B92" s="31"/>
      <c r="C92" s="31"/>
      <c r="D92" s="31"/>
      <c r="E92" s="29"/>
    </row>
    <row r="93" spans="1:5" x14ac:dyDescent="0.35">
      <c r="A93" s="31"/>
      <c r="B93" s="31"/>
      <c r="C93" s="31"/>
      <c r="D93" s="31"/>
      <c r="E93" s="29"/>
    </row>
    <row r="94" spans="1:5" x14ac:dyDescent="0.35">
      <c r="A94" s="31"/>
      <c r="B94" s="31"/>
      <c r="C94" s="31"/>
      <c r="D94" s="31"/>
      <c r="E94" s="29"/>
    </row>
    <row r="95" spans="1:5" x14ac:dyDescent="0.35">
      <c r="A95" s="31"/>
      <c r="B95" s="31"/>
      <c r="C95" s="31"/>
      <c r="D95" s="31"/>
      <c r="E95" s="29"/>
    </row>
    <row r="96" spans="1:5" x14ac:dyDescent="0.35">
      <c r="A96" s="31"/>
      <c r="B96" s="31"/>
      <c r="C96" s="31"/>
      <c r="D96" s="31"/>
      <c r="E96" s="29"/>
    </row>
    <row r="97" spans="1:5" x14ac:dyDescent="0.35">
      <c r="A97" s="31"/>
      <c r="B97" s="31"/>
      <c r="C97" s="31"/>
      <c r="D97" s="31"/>
      <c r="E97" s="29"/>
    </row>
    <row r="98" spans="1:5" x14ac:dyDescent="0.35">
      <c r="A98" s="31"/>
      <c r="B98" s="31"/>
      <c r="C98" s="31"/>
      <c r="D98" s="31"/>
      <c r="E98" s="29"/>
    </row>
    <row r="99" spans="1:5" x14ac:dyDescent="0.35">
      <c r="A99" s="31"/>
      <c r="B99" s="31"/>
      <c r="C99" s="31"/>
      <c r="D99" s="31"/>
      <c r="E99" s="29"/>
    </row>
    <row r="100" spans="1:5" x14ac:dyDescent="0.35">
      <c r="A100" s="31"/>
      <c r="B100" s="31"/>
      <c r="C100" s="31"/>
      <c r="D100" s="31"/>
      <c r="E100" s="29"/>
    </row>
    <row r="101" spans="1:5" x14ac:dyDescent="0.35">
      <c r="A101" s="31"/>
      <c r="B101" s="31"/>
      <c r="C101" s="31"/>
      <c r="D101" s="31"/>
      <c r="E101" s="29"/>
    </row>
    <row r="102" spans="1:5" x14ac:dyDescent="0.35">
      <c r="A102" s="31"/>
      <c r="B102" s="31"/>
      <c r="C102" s="31"/>
      <c r="D102" s="31"/>
      <c r="E102" s="29"/>
    </row>
    <row r="103" spans="1:5" x14ac:dyDescent="0.35">
      <c r="A103" s="31"/>
      <c r="B103" s="31"/>
      <c r="C103" s="31"/>
      <c r="D103" s="31"/>
      <c r="E103" s="29"/>
    </row>
    <row r="104" spans="1:5" x14ac:dyDescent="0.35">
      <c r="A104" s="31"/>
      <c r="B104" s="31"/>
      <c r="C104" s="31"/>
      <c r="D104" s="31"/>
      <c r="E104" s="29"/>
    </row>
    <row r="105" spans="1:5" x14ac:dyDescent="0.35">
      <c r="A105" s="31"/>
      <c r="B105" s="31"/>
      <c r="C105" s="31"/>
      <c r="D105" s="31"/>
      <c r="E105" s="29"/>
    </row>
    <row r="106" spans="1:5" x14ac:dyDescent="0.35">
      <c r="A106" s="31"/>
      <c r="B106" s="31"/>
      <c r="C106" s="31"/>
      <c r="D106" s="31"/>
      <c r="E106" s="29"/>
    </row>
    <row r="107" spans="1:5" x14ac:dyDescent="0.35">
      <c r="A107" s="31"/>
      <c r="B107" s="31"/>
      <c r="C107" s="31"/>
      <c r="D107" s="31"/>
      <c r="E107" s="29"/>
    </row>
    <row r="108" spans="1:5" x14ac:dyDescent="0.35">
      <c r="A108" s="31"/>
      <c r="B108" s="31"/>
      <c r="C108" s="31"/>
      <c r="D108" s="31"/>
      <c r="E108" s="29"/>
    </row>
    <row r="109" spans="1:5" x14ac:dyDescent="0.35">
      <c r="A109" s="31"/>
      <c r="B109" s="31"/>
      <c r="C109" s="31"/>
      <c r="D109" s="31"/>
      <c r="E109" s="29"/>
    </row>
    <row r="110" spans="1:5" x14ac:dyDescent="0.35">
      <c r="A110" s="31"/>
      <c r="B110" s="31"/>
      <c r="C110" s="31"/>
      <c r="D110" s="31"/>
      <c r="E110" s="29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2"/>
  <sheetViews>
    <sheetView workbookViewId="0">
      <selection activeCell="D22" sqref="D22"/>
    </sheetView>
  </sheetViews>
  <sheetFormatPr defaultRowHeight="14.5" x14ac:dyDescent="0.35"/>
  <cols>
    <col min="1" max="1" width="3.26953125" bestFit="1" customWidth="1"/>
    <col min="2" max="2" width="25.26953125" customWidth="1"/>
    <col min="3" max="3" width="12.7265625" bestFit="1" customWidth="1"/>
    <col min="4" max="4" width="15.26953125" bestFit="1" customWidth="1"/>
  </cols>
  <sheetData>
    <row r="1" spans="1:4" x14ac:dyDescent="0.35">
      <c r="A1" s="46" t="s">
        <v>4</v>
      </c>
      <c r="B1" s="46" t="s">
        <v>112</v>
      </c>
      <c r="C1" s="46" t="s">
        <v>113</v>
      </c>
      <c r="D1" s="46" t="s">
        <v>69</v>
      </c>
    </row>
    <row r="2" spans="1:4" x14ac:dyDescent="0.35">
      <c r="A2" s="31">
        <v>1</v>
      </c>
      <c r="B2" s="49" t="s">
        <v>114</v>
      </c>
      <c r="C2" s="29">
        <v>0</v>
      </c>
      <c r="D2" s="29">
        <f>ROUND(C2*Дано!$B$32,-2)</f>
        <v>0</v>
      </c>
    </row>
    <row r="3" spans="1:4" x14ac:dyDescent="0.35">
      <c r="A3" s="31">
        <v>2</v>
      </c>
      <c r="B3" s="49" t="s">
        <v>114</v>
      </c>
      <c r="C3" s="29">
        <v>0</v>
      </c>
      <c r="D3" s="29">
        <f>ROUND(C3*Дано!$B$32,-2)</f>
        <v>0</v>
      </c>
    </row>
    <row r="4" spans="1:4" x14ac:dyDescent="0.35">
      <c r="A4" s="31">
        <v>3</v>
      </c>
      <c r="B4" s="49" t="s">
        <v>114</v>
      </c>
      <c r="C4" s="29">
        <v>0</v>
      </c>
      <c r="D4" s="29">
        <f>ROUND(C4*Дано!$B$32,-2)</f>
        <v>0</v>
      </c>
    </row>
    <row r="5" spans="1:4" x14ac:dyDescent="0.35">
      <c r="A5" s="31">
        <v>4</v>
      </c>
      <c r="B5" s="49" t="s">
        <v>114</v>
      </c>
      <c r="C5" s="29">
        <v>0</v>
      </c>
      <c r="D5" s="29">
        <f>ROUND(C5*Дано!$B$32,-2)</f>
        <v>0</v>
      </c>
    </row>
    <row r="6" spans="1:4" x14ac:dyDescent="0.35">
      <c r="A6" s="31">
        <v>5</v>
      </c>
      <c r="B6" s="49" t="s">
        <v>114</v>
      </c>
      <c r="C6" s="29">
        <v>0</v>
      </c>
      <c r="D6" s="29">
        <f>ROUND(C6*Дано!$B$32,-2)</f>
        <v>0</v>
      </c>
    </row>
    <row r="7" spans="1:4" x14ac:dyDescent="0.35">
      <c r="A7" s="31">
        <v>6</v>
      </c>
      <c r="B7" s="49" t="s">
        <v>114</v>
      </c>
      <c r="C7" s="29">
        <v>0</v>
      </c>
      <c r="D7" s="29">
        <f>ROUND(C7*Дано!$B$32,-2)</f>
        <v>0</v>
      </c>
    </row>
    <row r="8" spans="1:4" x14ac:dyDescent="0.35">
      <c r="A8" s="31">
        <v>7</v>
      </c>
      <c r="B8" s="49" t="s">
        <v>114</v>
      </c>
      <c r="C8" s="29">
        <v>0</v>
      </c>
      <c r="D8" s="29">
        <f>ROUND(C8*Дано!$B$32,-2)</f>
        <v>0</v>
      </c>
    </row>
    <row r="9" spans="1:4" x14ac:dyDescent="0.35">
      <c r="A9" s="31">
        <v>8</v>
      </c>
      <c r="B9" s="49" t="s">
        <v>114</v>
      </c>
      <c r="C9" s="29">
        <v>0</v>
      </c>
      <c r="D9" s="29">
        <f>ROUND(C9*Дано!$B$32,-2)</f>
        <v>0</v>
      </c>
    </row>
    <row r="10" spans="1:4" s="30" customFormat="1" x14ac:dyDescent="0.35">
      <c r="A10" s="31">
        <v>9</v>
      </c>
      <c r="B10" s="49" t="s">
        <v>114</v>
      </c>
      <c r="C10" s="29">
        <v>0</v>
      </c>
      <c r="D10" s="29">
        <f>ROUND(C10*Дано!$B$32,-2)</f>
        <v>0</v>
      </c>
    </row>
    <row r="11" spans="1:4" s="30" customFormat="1" x14ac:dyDescent="0.35">
      <c r="A11" s="31">
        <v>10</v>
      </c>
      <c r="B11" s="49" t="s">
        <v>114</v>
      </c>
      <c r="C11" s="29">
        <v>0</v>
      </c>
      <c r="D11" s="29">
        <f>ROUND(C11*Дано!$B$32,-2)</f>
        <v>0</v>
      </c>
    </row>
    <row r="12" spans="1:4" s="30" customFormat="1" x14ac:dyDescent="0.35">
      <c r="A12" s="31">
        <v>11</v>
      </c>
      <c r="B12" s="49" t="s">
        <v>114</v>
      </c>
      <c r="C12" s="29">
        <v>0</v>
      </c>
      <c r="D12" s="29">
        <f>ROUND(C12*Дано!$B$32,-2)</f>
        <v>0</v>
      </c>
    </row>
    <row r="13" spans="1:4" s="30" customFormat="1" x14ac:dyDescent="0.35">
      <c r="A13" s="31">
        <v>12</v>
      </c>
      <c r="B13" s="49" t="s">
        <v>114</v>
      </c>
      <c r="C13" s="29">
        <v>0</v>
      </c>
      <c r="D13" s="29">
        <f>ROUND(C13*Дано!$B$32,-2)</f>
        <v>0</v>
      </c>
    </row>
    <row r="14" spans="1:4" s="30" customFormat="1" x14ac:dyDescent="0.35">
      <c r="A14" s="31">
        <v>13</v>
      </c>
      <c r="B14" s="49" t="s">
        <v>114</v>
      </c>
      <c r="C14" s="29">
        <v>0</v>
      </c>
      <c r="D14" s="29">
        <f>ROUND(C14*Дано!$B$32,-2)</f>
        <v>0</v>
      </c>
    </row>
    <row r="15" spans="1:4" s="30" customFormat="1" x14ac:dyDescent="0.35">
      <c r="A15" s="31">
        <v>14</v>
      </c>
      <c r="B15" s="49" t="s">
        <v>114</v>
      </c>
      <c r="C15" s="29">
        <v>0</v>
      </c>
      <c r="D15" s="29">
        <f>ROUND(C15*Дано!$B$32,-2)</f>
        <v>0</v>
      </c>
    </row>
    <row r="16" spans="1:4" s="30" customFormat="1" x14ac:dyDescent="0.35">
      <c r="A16" s="31">
        <v>15</v>
      </c>
      <c r="B16" s="49" t="s">
        <v>114</v>
      </c>
      <c r="C16" s="29">
        <v>0</v>
      </c>
      <c r="D16" s="29">
        <f>ROUND(C16*Дано!$B$32,-2)</f>
        <v>0</v>
      </c>
    </row>
    <row r="17" spans="1:4" s="30" customFormat="1" x14ac:dyDescent="0.35">
      <c r="A17" s="31">
        <v>16</v>
      </c>
      <c r="B17" s="49" t="s">
        <v>114</v>
      </c>
      <c r="C17" s="29">
        <v>0</v>
      </c>
      <c r="D17" s="29">
        <f>ROUND(C17*Дано!$B$32,-2)</f>
        <v>0</v>
      </c>
    </row>
    <row r="18" spans="1:4" s="30" customFormat="1" x14ac:dyDescent="0.35">
      <c r="A18" s="31">
        <v>17</v>
      </c>
      <c r="B18" s="49" t="s">
        <v>114</v>
      </c>
      <c r="C18" s="29">
        <v>0</v>
      </c>
      <c r="D18" s="29">
        <f>ROUND(C18*Дано!$B$32,-2)</f>
        <v>0</v>
      </c>
    </row>
    <row r="19" spans="1:4" s="30" customFormat="1" x14ac:dyDescent="0.35">
      <c r="A19" s="31">
        <v>18</v>
      </c>
      <c r="B19" s="49" t="s">
        <v>114</v>
      </c>
      <c r="C19" s="29">
        <v>0</v>
      </c>
      <c r="D19" s="29">
        <f>ROUND(C19*Дано!$B$32,-2)</f>
        <v>0</v>
      </c>
    </row>
    <row r="20" spans="1:4" s="30" customFormat="1" x14ac:dyDescent="0.35">
      <c r="A20" s="31">
        <v>19</v>
      </c>
      <c r="B20" s="49" t="s">
        <v>114</v>
      </c>
      <c r="C20" s="29">
        <v>0</v>
      </c>
      <c r="D20" s="29">
        <f>ROUND(C20*Дано!$B$32,-2)</f>
        <v>0</v>
      </c>
    </row>
    <row r="21" spans="1:4" s="30" customFormat="1" x14ac:dyDescent="0.35">
      <c r="A21" s="31">
        <v>20</v>
      </c>
      <c r="B21" s="49" t="s">
        <v>114</v>
      </c>
      <c r="C21" s="29">
        <v>0</v>
      </c>
      <c r="D21" s="29">
        <f>ROUND(C21*Дано!$B$32,-2)</f>
        <v>0</v>
      </c>
    </row>
    <row r="22" spans="1:4" x14ac:dyDescent="0.35">
      <c r="C22" s="33">
        <f>AVERAGE(C2:C21)</f>
        <v>0</v>
      </c>
      <c r="D22" s="33">
        <f>AVERAGE(D2:D21)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9"/>
  <sheetViews>
    <sheetView workbookViewId="0">
      <selection activeCell="E27" sqref="E27"/>
    </sheetView>
  </sheetViews>
  <sheetFormatPr defaultRowHeight="14.5" x14ac:dyDescent="0.35"/>
  <cols>
    <col min="1" max="1" width="3" bestFit="1" customWidth="1"/>
    <col min="2" max="2" width="45.26953125" bestFit="1" customWidth="1"/>
    <col min="3" max="3" width="7" bestFit="1" customWidth="1"/>
    <col min="4" max="4" width="7.7265625" customWidth="1"/>
    <col min="5" max="5" width="10.26953125" bestFit="1" customWidth="1"/>
    <col min="8" max="8" width="10.26953125" bestFit="1" customWidth="1"/>
    <col min="9" max="9" width="12.7265625" bestFit="1" customWidth="1"/>
    <col min="10" max="10" width="14.26953125" bestFit="1" customWidth="1"/>
  </cols>
  <sheetData>
    <row r="1" spans="1:12" x14ac:dyDescent="0.35">
      <c r="A1" s="46" t="s">
        <v>4</v>
      </c>
      <c r="B1" s="46" t="s">
        <v>111</v>
      </c>
      <c r="C1" s="46" t="s">
        <v>56</v>
      </c>
      <c r="D1" s="46" t="s">
        <v>110</v>
      </c>
      <c r="E1" s="46" t="s">
        <v>58</v>
      </c>
      <c r="F1" s="28"/>
      <c r="G1" s="28"/>
      <c r="H1" s="28"/>
      <c r="I1" s="28"/>
      <c r="J1" s="28"/>
    </row>
    <row r="2" spans="1:12" x14ac:dyDescent="0.35">
      <c r="A2" s="31">
        <v>1</v>
      </c>
      <c r="B2" s="31"/>
      <c r="C2" s="31">
        <v>1</v>
      </c>
      <c r="D2" s="53">
        <v>0</v>
      </c>
      <c r="E2" s="52">
        <f>C2*D2*Средн!$D$22/100</f>
        <v>0</v>
      </c>
      <c r="F2" s="28"/>
      <c r="G2" s="28"/>
      <c r="H2" s="50"/>
      <c r="I2" s="50"/>
      <c r="J2" s="51"/>
      <c r="K2" s="30"/>
      <c r="L2" s="30"/>
    </row>
    <row r="3" spans="1:12" x14ac:dyDescent="0.35">
      <c r="A3" s="31">
        <v>2</v>
      </c>
      <c r="B3" s="31"/>
      <c r="C3" s="31">
        <v>1</v>
      </c>
      <c r="D3" s="53">
        <v>0</v>
      </c>
      <c r="E3" s="52">
        <f>C3*D3*Средн!$D$22/100</f>
        <v>0</v>
      </c>
      <c r="F3" s="28"/>
      <c r="G3" s="28"/>
      <c r="H3" s="50"/>
      <c r="I3" s="50"/>
      <c r="J3" s="51"/>
      <c r="K3" s="30"/>
      <c r="L3" s="30"/>
    </row>
    <row r="4" spans="1:12" x14ac:dyDescent="0.35">
      <c r="A4" s="31">
        <v>3</v>
      </c>
      <c r="B4" s="31"/>
      <c r="C4" s="31">
        <v>1</v>
      </c>
      <c r="D4" s="53">
        <v>0</v>
      </c>
      <c r="E4" s="52">
        <f>C4*D4*Средн!$D$22/100</f>
        <v>0</v>
      </c>
      <c r="F4" s="28"/>
      <c r="G4" s="28"/>
      <c r="H4" s="50"/>
      <c r="I4" s="50"/>
      <c r="J4" s="51"/>
      <c r="K4" s="30"/>
      <c r="L4" s="30"/>
    </row>
    <row r="5" spans="1:12" x14ac:dyDescent="0.35">
      <c r="A5" s="31">
        <v>4</v>
      </c>
      <c r="B5" s="31"/>
      <c r="C5" s="31">
        <v>1</v>
      </c>
      <c r="D5" s="53">
        <v>0</v>
      </c>
      <c r="E5" s="52">
        <f>C5*D5*Средн!$D$22/100</f>
        <v>0</v>
      </c>
      <c r="F5" s="28"/>
      <c r="G5" s="28"/>
      <c r="H5" s="50"/>
      <c r="I5" s="50"/>
      <c r="J5" s="51"/>
      <c r="K5" s="30"/>
      <c r="L5" s="30"/>
    </row>
    <row r="6" spans="1:12" x14ac:dyDescent="0.35">
      <c r="A6" s="31">
        <v>5</v>
      </c>
      <c r="B6" s="31"/>
      <c r="C6" s="31">
        <v>1</v>
      </c>
      <c r="D6" s="53">
        <v>0</v>
      </c>
      <c r="E6" s="52">
        <f>C6*D6*Средн!$D$22/100</f>
        <v>0</v>
      </c>
      <c r="F6" s="28"/>
      <c r="G6" s="28"/>
      <c r="H6" s="50"/>
      <c r="I6" s="50"/>
      <c r="J6" s="51"/>
      <c r="K6" s="30"/>
      <c r="L6" s="30"/>
    </row>
    <row r="7" spans="1:12" x14ac:dyDescent="0.35">
      <c r="A7" s="31">
        <v>6</v>
      </c>
      <c r="B7" s="31"/>
      <c r="C7" s="31">
        <v>1</v>
      </c>
      <c r="D7" s="53">
        <v>0</v>
      </c>
      <c r="E7" s="52">
        <f>C7*D7*Средн!$D$22/100</f>
        <v>0</v>
      </c>
      <c r="F7" s="28"/>
      <c r="G7" s="28"/>
      <c r="H7" s="50"/>
      <c r="I7" s="50"/>
      <c r="J7" s="51"/>
      <c r="K7" s="30"/>
      <c r="L7" s="30"/>
    </row>
    <row r="8" spans="1:12" x14ac:dyDescent="0.35">
      <c r="A8" s="31">
        <v>7</v>
      </c>
      <c r="B8" s="31"/>
      <c r="C8" s="31">
        <v>1</v>
      </c>
      <c r="D8" s="53">
        <v>0</v>
      </c>
      <c r="E8" s="52">
        <f>C8*D8*Средн!$D$22/100</f>
        <v>0</v>
      </c>
      <c r="F8" s="28"/>
      <c r="G8" s="28"/>
      <c r="H8" s="41"/>
      <c r="I8" s="41"/>
      <c r="J8" s="28"/>
      <c r="K8" s="30"/>
      <c r="L8" s="30"/>
    </row>
    <row r="9" spans="1:12" x14ac:dyDescent="0.35">
      <c r="A9" s="31">
        <v>8</v>
      </c>
      <c r="B9" s="31"/>
      <c r="C9" s="31">
        <v>1</v>
      </c>
      <c r="D9" s="53">
        <v>0</v>
      </c>
      <c r="E9" s="52">
        <f>C9*D9*Средн!$D$22/100</f>
        <v>0</v>
      </c>
      <c r="F9" s="28"/>
      <c r="G9" s="28"/>
      <c r="H9" s="28"/>
      <c r="I9" s="28"/>
      <c r="J9" s="28"/>
    </row>
    <row r="10" spans="1:12" s="30" customFormat="1" x14ac:dyDescent="0.35">
      <c r="A10" s="31">
        <v>9</v>
      </c>
      <c r="B10" s="31"/>
      <c r="C10" s="31">
        <v>1</v>
      </c>
      <c r="D10" s="53">
        <v>0</v>
      </c>
      <c r="E10" s="52">
        <f>C10*D10*Средн!$D$22/100</f>
        <v>0</v>
      </c>
      <c r="F10" s="28"/>
      <c r="G10" s="28"/>
      <c r="H10" s="50"/>
      <c r="I10" s="50"/>
      <c r="J10" s="51"/>
    </row>
    <row r="11" spans="1:12" s="30" customFormat="1" x14ac:dyDescent="0.35">
      <c r="A11" s="31">
        <v>10</v>
      </c>
      <c r="B11" s="31"/>
      <c r="C11" s="31">
        <v>1</v>
      </c>
      <c r="D11" s="53">
        <v>0</v>
      </c>
      <c r="E11" s="52">
        <f>C11*D11*Средн!$D$22/100</f>
        <v>0</v>
      </c>
      <c r="F11" s="28"/>
      <c r="G11" s="28"/>
      <c r="H11" s="50"/>
      <c r="I11" s="50"/>
      <c r="J11" s="51"/>
    </row>
    <row r="12" spans="1:12" s="30" customFormat="1" x14ac:dyDescent="0.35">
      <c r="A12" s="31">
        <v>11</v>
      </c>
      <c r="B12" s="31"/>
      <c r="C12" s="31">
        <v>1</v>
      </c>
      <c r="D12" s="53">
        <v>0</v>
      </c>
      <c r="E12" s="52">
        <f>C12*D12*Средн!$D$22/100</f>
        <v>0</v>
      </c>
      <c r="F12" s="28"/>
      <c r="G12" s="28"/>
      <c r="H12" s="41"/>
      <c r="I12" s="41"/>
      <c r="J12" s="28"/>
    </row>
    <row r="13" spans="1:12" s="30" customFormat="1" x14ac:dyDescent="0.35">
      <c r="A13" s="31">
        <v>12</v>
      </c>
      <c r="B13" s="31"/>
      <c r="C13" s="31">
        <v>1</v>
      </c>
      <c r="D13" s="53">
        <v>0</v>
      </c>
      <c r="E13" s="52">
        <f>C13*D13*Средн!$D$22/100</f>
        <v>0</v>
      </c>
      <c r="F13" s="28"/>
      <c r="G13" s="28"/>
      <c r="H13" s="28"/>
      <c r="I13" s="28"/>
      <c r="J13" s="28"/>
    </row>
    <row r="14" spans="1:12" x14ac:dyDescent="0.35">
      <c r="A14" s="31">
        <v>13</v>
      </c>
      <c r="B14" s="31"/>
      <c r="C14" s="31">
        <v>1</v>
      </c>
      <c r="D14" s="53">
        <v>0</v>
      </c>
      <c r="E14" s="52">
        <f>C14*D14*Средн!$D$22/100</f>
        <v>0</v>
      </c>
      <c r="F14" s="28"/>
      <c r="G14" s="28"/>
      <c r="H14" s="28"/>
      <c r="I14" s="28"/>
      <c r="J14" s="28"/>
    </row>
    <row r="15" spans="1:12" s="30" customFormat="1" x14ac:dyDescent="0.35">
      <c r="A15" s="31">
        <v>14</v>
      </c>
      <c r="B15" s="31"/>
      <c r="C15" s="31">
        <v>1</v>
      </c>
      <c r="D15" s="53">
        <v>0</v>
      </c>
      <c r="E15" s="52">
        <f>C15*D15*Средн!$D$22/100</f>
        <v>0</v>
      </c>
      <c r="F15" s="28"/>
      <c r="G15" s="28"/>
      <c r="H15" s="50"/>
      <c r="I15" s="50"/>
      <c r="J15" s="51"/>
    </row>
    <row r="16" spans="1:12" s="30" customFormat="1" x14ac:dyDescent="0.35">
      <c r="A16" s="31">
        <v>15</v>
      </c>
      <c r="B16" s="31"/>
      <c r="C16" s="31">
        <v>1</v>
      </c>
      <c r="D16" s="53">
        <v>0</v>
      </c>
      <c r="E16" s="52">
        <f>C16*D16*Средн!$D$22/100</f>
        <v>0</v>
      </c>
      <c r="F16" s="28"/>
      <c r="G16" s="28"/>
      <c r="H16" s="50"/>
      <c r="I16" s="50"/>
      <c r="J16" s="51"/>
    </row>
    <row r="17" spans="1:10" s="30" customFormat="1" x14ac:dyDescent="0.35">
      <c r="A17" s="31">
        <v>16</v>
      </c>
      <c r="B17" s="31"/>
      <c r="C17" s="31">
        <v>1</v>
      </c>
      <c r="D17" s="53">
        <v>0</v>
      </c>
      <c r="E17" s="52">
        <f>C17*D17*Средн!$D$22/100</f>
        <v>0</v>
      </c>
      <c r="F17" s="28"/>
      <c r="G17" s="28"/>
      <c r="H17" s="41"/>
      <c r="I17" s="41"/>
      <c r="J17" s="28"/>
    </row>
    <row r="18" spans="1:10" s="30" customFormat="1" x14ac:dyDescent="0.35">
      <c r="A18" s="31">
        <v>17</v>
      </c>
      <c r="B18" s="31"/>
      <c r="C18" s="31">
        <v>1</v>
      </c>
      <c r="D18" s="53">
        <v>0</v>
      </c>
      <c r="E18" s="52">
        <f>C18*D18*Средн!$D$22/100</f>
        <v>0</v>
      </c>
      <c r="F18" s="28"/>
      <c r="G18" s="28"/>
      <c r="H18" s="28"/>
      <c r="I18" s="28"/>
      <c r="J18" s="28"/>
    </row>
    <row r="19" spans="1:10" s="30" customFormat="1" x14ac:dyDescent="0.35">
      <c r="A19" s="31">
        <v>18</v>
      </c>
      <c r="B19" s="31"/>
      <c r="C19" s="31">
        <v>1</v>
      </c>
      <c r="D19" s="53">
        <v>0</v>
      </c>
      <c r="E19" s="52">
        <f>C19*D19*Средн!$D$22/100</f>
        <v>0</v>
      </c>
      <c r="F19" s="28"/>
      <c r="G19" s="28"/>
      <c r="H19" s="28"/>
      <c r="I19" s="28"/>
      <c r="J19" s="28"/>
    </row>
    <row r="20" spans="1:10" s="30" customFormat="1" x14ac:dyDescent="0.35">
      <c r="A20" s="31">
        <v>19</v>
      </c>
      <c r="B20" s="31"/>
      <c r="C20" s="31">
        <v>1</v>
      </c>
      <c r="D20" s="53">
        <v>0</v>
      </c>
      <c r="E20" s="52">
        <f>C20*D20*Средн!$D$22/100</f>
        <v>0</v>
      </c>
      <c r="F20" s="28"/>
      <c r="G20" s="28"/>
      <c r="H20" s="50"/>
      <c r="I20" s="50"/>
      <c r="J20" s="51"/>
    </row>
    <row r="21" spans="1:10" s="30" customFormat="1" x14ac:dyDescent="0.35">
      <c r="A21" s="31">
        <v>20</v>
      </c>
      <c r="B21" s="31"/>
      <c r="C21" s="31">
        <v>1</v>
      </c>
      <c r="D21" s="53">
        <v>0</v>
      </c>
      <c r="E21" s="52">
        <f>C21*D21*Средн!$D$22/100</f>
        <v>0</v>
      </c>
      <c r="F21" s="28"/>
      <c r="G21" s="28"/>
      <c r="H21" s="50"/>
      <c r="I21" s="50"/>
      <c r="J21" s="51"/>
    </row>
    <row r="22" spans="1:10" s="30" customFormat="1" x14ac:dyDescent="0.35">
      <c r="A22" s="31">
        <v>21</v>
      </c>
      <c r="B22" s="31"/>
      <c r="C22" s="31">
        <v>1</v>
      </c>
      <c r="D22" s="53">
        <v>0</v>
      </c>
      <c r="E22" s="52">
        <f>C22*D22*Средн!$D$22/100</f>
        <v>0</v>
      </c>
      <c r="F22" s="28"/>
      <c r="G22" s="28"/>
      <c r="H22" s="50"/>
      <c r="I22" s="50"/>
      <c r="J22" s="51"/>
    </row>
    <row r="23" spans="1:10" s="30" customFormat="1" x14ac:dyDescent="0.35">
      <c r="A23" s="31">
        <v>22</v>
      </c>
      <c r="B23" s="31"/>
      <c r="C23" s="31">
        <v>1</v>
      </c>
      <c r="D23" s="53">
        <v>0</v>
      </c>
      <c r="E23" s="52">
        <f>C23*D23*Средн!$D$22/100</f>
        <v>0</v>
      </c>
      <c r="F23" s="28"/>
      <c r="G23" s="28"/>
      <c r="H23" s="41"/>
      <c r="I23" s="41"/>
      <c r="J23" s="28"/>
    </row>
    <row r="24" spans="1:10" s="30" customFormat="1" x14ac:dyDescent="0.35">
      <c r="A24" s="31">
        <v>23</v>
      </c>
      <c r="B24" s="31"/>
      <c r="C24" s="31">
        <v>1</v>
      </c>
      <c r="D24" s="53">
        <v>0</v>
      </c>
      <c r="E24" s="52">
        <f>C24*D24*Средн!$D$22/100</f>
        <v>0</v>
      </c>
      <c r="F24" s="28"/>
      <c r="G24" s="28"/>
      <c r="H24" s="28"/>
      <c r="I24" s="28"/>
      <c r="J24" s="28"/>
    </row>
    <row r="25" spans="1:10" s="30" customFormat="1" x14ac:dyDescent="0.35">
      <c r="A25" s="31">
        <v>24</v>
      </c>
      <c r="B25" s="31"/>
      <c r="C25" s="31">
        <v>1</v>
      </c>
      <c r="D25" s="53">
        <v>0</v>
      </c>
      <c r="E25" s="52">
        <f>C25*D25*Средн!$D$22/100</f>
        <v>0</v>
      </c>
      <c r="F25" s="28"/>
      <c r="G25" s="28"/>
      <c r="H25" s="28"/>
      <c r="I25" s="28"/>
      <c r="J25" s="28"/>
    </row>
    <row r="26" spans="1:10" x14ac:dyDescent="0.35">
      <c r="A26" s="31">
        <v>25</v>
      </c>
      <c r="B26" s="31"/>
      <c r="C26" s="31">
        <v>1</v>
      </c>
      <c r="D26" s="53">
        <v>0</v>
      </c>
      <c r="E26" s="52">
        <f>C26*D26*Средн!$D$22/100</f>
        <v>0</v>
      </c>
      <c r="F26" s="28"/>
      <c r="G26" s="28"/>
      <c r="H26" s="28"/>
      <c r="I26" s="28"/>
      <c r="J26" s="28"/>
    </row>
    <row r="27" spans="1:10" x14ac:dyDescent="0.35">
      <c r="A27" s="28"/>
      <c r="B27" s="28"/>
      <c r="C27" s="28"/>
      <c r="D27" s="54">
        <f t="shared" ref="D27" si="0">SUM(D2:D26)</f>
        <v>0</v>
      </c>
      <c r="E27" s="55">
        <f>ROUND(SUM(E2:E26),0)</f>
        <v>0</v>
      </c>
      <c r="F27" s="28"/>
      <c r="G27" s="28"/>
      <c r="H27" s="28"/>
      <c r="I27" s="28"/>
      <c r="J27" s="28"/>
    </row>
    <row r="28" spans="1:10" x14ac:dyDescent="0.35">
      <c r="A28" s="28"/>
      <c r="B28" s="28"/>
      <c r="C28" s="28"/>
      <c r="D28" s="28"/>
      <c r="E28" s="28"/>
      <c r="F28" s="28"/>
      <c r="G28" s="28"/>
      <c r="H28" s="28"/>
      <c r="I28" s="28"/>
      <c r="J28" s="28"/>
    </row>
    <row r="29" spans="1:10" x14ac:dyDescent="0.35">
      <c r="A29" s="28"/>
      <c r="B29" s="28"/>
      <c r="C29" s="28"/>
      <c r="D29" s="28"/>
      <c r="E29" s="28"/>
      <c r="F29" s="28"/>
      <c r="G29" s="28"/>
      <c r="H29" s="28"/>
      <c r="I29" s="28"/>
      <c r="J29" s="2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68"/>
  <sheetViews>
    <sheetView zoomScaleNormal="100" workbookViewId="0">
      <selection activeCell="C23" sqref="C23"/>
    </sheetView>
  </sheetViews>
  <sheetFormatPr defaultColWidth="8.7265625" defaultRowHeight="14.5" x14ac:dyDescent="0.35"/>
  <cols>
    <col min="1" max="1" width="70.26953125" style="30" customWidth="1"/>
    <col min="2" max="2" width="15.453125" style="61" customWidth="1"/>
    <col min="3" max="3" width="12.7265625" style="30" bestFit="1" customWidth="1"/>
    <col min="4" max="4" width="13.453125" style="30" bestFit="1" customWidth="1"/>
    <col min="5" max="6" width="11.26953125" style="30" bestFit="1" customWidth="1"/>
    <col min="7" max="7" width="14.26953125" style="30" bestFit="1" customWidth="1"/>
    <col min="8" max="8" width="17.54296875" style="30" bestFit="1" customWidth="1"/>
    <col min="9" max="9" width="15.7265625" style="30" bestFit="1" customWidth="1"/>
    <col min="10" max="16384" width="8.7265625" style="30"/>
  </cols>
  <sheetData>
    <row r="1" spans="1:7" x14ac:dyDescent="0.35">
      <c r="A1" s="56" t="s">
        <v>115</v>
      </c>
      <c r="B1" s="58"/>
      <c r="C1" s="56"/>
      <c r="E1" s="46" t="s">
        <v>80</v>
      </c>
      <c r="F1" s="46" t="s">
        <v>81</v>
      </c>
      <c r="G1" s="46" t="s">
        <v>82</v>
      </c>
    </row>
    <row r="2" spans="1:7" x14ac:dyDescent="0.35">
      <c r="A2" s="46" t="s">
        <v>117</v>
      </c>
      <c r="B2" s="57" t="s">
        <v>133</v>
      </c>
      <c r="C2" s="46" t="s">
        <v>134</v>
      </c>
      <c r="E2" s="46">
        <v>0.7</v>
      </c>
      <c r="F2" s="46">
        <v>0.5</v>
      </c>
      <c r="G2" s="46">
        <v>0.75</v>
      </c>
    </row>
    <row r="3" spans="1:7" x14ac:dyDescent="0.35">
      <c r="A3" s="31" t="s">
        <v>118</v>
      </c>
      <c r="B3" s="59">
        <v>20</v>
      </c>
      <c r="C3" s="29">
        <f>ROUND(($E$2*$F$2*$G$2*Средн!$D$22*B3)/100,2)</f>
        <v>0</v>
      </c>
    </row>
    <row r="4" spans="1:7" x14ac:dyDescent="0.35">
      <c r="A4" s="31" t="s">
        <v>119</v>
      </c>
      <c r="B4" s="59">
        <v>30</v>
      </c>
      <c r="C4" s="29">
        <f>ROUND(($E$2*$F$2*$G$2*Средн!$D$22*B4)/100,2)</f>
        <v>0</v>
      </c>
    </row>
    <row r="5" spans="1:7" x14ac:dyDescent="0.35">
      <c r="A5" s="31" t="s">
        <v>120</v>
      </c>
      <c r="B5" s="59">
        <v>13</v>
      </c>
      <c r="C5" s="29">
        <f>ROUND(($E$2*$F$2*$G$2*Средн!$D$22*B5)/100,2)</f>
        <v>0</v>
      </c>
    </row>
    <row r="6" spans="1:7" x14ac:dyDescent="0.35">
      <c r="A6" s="31" t="s">
        <v>121</v>
      </c>
      <c r="B6" s="59">
        <v>3</v>
      </c>
      <c r="C6" s="29">
        <f>ROUND(($E$2*$F$2*$G$2*Средн!$D$22*B6)/100,2)</f>
        <v>0</v>
      </c>
    </row>
    <row r="7" spans="1:7" x14ac:dyDescent="0.35">
      <c r="A7" s="31" t="s">
        <v>122</v>
      </c>
      <c r="B7" s="59">
        <v>3</v>
      </c>
      <c r="C7" s="29">
        <f>ROUND(($E$2*$F$2*$G$2*Средн!$D$22*B7)/100,2)</f>
        <v>0</v>
      </c>
    </row>
    <row r="8" spans="1:7" x14ac:dyDescent="0.35">
      <c r="A8" s="31" t="s">
        <v>123</v>
      </c>
      <c r="B8" s="59">
        <v>2.5</v>
      </c>
      <c r="C8" s="29">
        <f>ROUND(($E$2*$F$2*$G$2*Средн!$D$22*B8)/100,2)</f>
        <v>0</v>
      </c>
    </row>
    <row r="9" spans="1:7" x14ac:dyDescent="0.35">
      <c r="A9" s="31" t="s">
        <v>124</v>
      </c>
      <c r="B9" s="59">
        <v>2</v>
      </c>
      <c r="C9" s="29">
        <f>ROUND(($E$2*$F$2*$G$2*Средн!$D$22*B9)/100,2)</f>
        <v>0</v>
      </c>
    </row>
    <row r="10" spans="1:7" x14ac:dyDescent="0.35">
      <c r="A10" s="31" t="s">
        <v>75</v>
      </c>
      <c r="B10" s="59">
        <v>2</v>
      </c>
      <c r="C10" s="29">
        <f>ROUND(($E$2*$F$2*$G$2*Средн!$D$22*B10)/100,2)</f>
        <v>0</v>
      </c>
    </row>
    <row r="11" spans="1:7" x14ac:dyDescent="0.35">
      <c r="A11" s="31" t="s">
        <v>76</v>
      </c>
      <c r="B11" s="59">
        <v>2.5</v>
      </c>
      <c r="C11" s="29">
        <f>ROUND(($E$2*$F$2*$G$2*Средн!$D$22*B11)/100,2)</f>
        <v>0</v>
      </c>
    </row>
    <row r="12" spans="1:7" x14ac:dyDescent="0.35">
      <c r="A12" s="31" t="s">
        <v>125</v>
      </c>
      <c r="B12" s="59">
        <v>2</v>
      </c>
      <c r="C12" s="29">
        <f>ROUND(($E$2*$F$2*$G$2*Средн!$D$22*B12)/100,2)</f>
        <v>0</v>
      </c>
    </row>
    <row r="13" spans="1:7" x14ac:dyDescent="0.35">
      <c r="A13" s="31" t="s">
        <v>77</v>
      </c>
      <c r="B13" s="59">
        <v>16</v>
      </c>
      <c r="C13" s="29">
        <f>ROUND(($E$2*$F$2*$G$2*Средн!$D$22*B13)/100,2)</f>
        <v>0</v>
      </c>
    </row>
    <row r="14" spans="1:7" x14ac:dyDescent="0.35">
      <c r="A14" s="31" t="s">
        <v>126</v>
      </c>
      <c r="B14" s="59">
        <v>10</v>
      </c>
      <c r="C14" s="29">
        <f>ROUND(($E$2*$F$2*$G$2*Средн!$D$22*B14)/100,2)</f>
        <v>0</v>
      </c>
    </row>
    <row r="15" spans="1:7" x14ac:dyDescent="0.35">
      <c r="A15" s="31" t="s">
        <v>127</v>
      </c>
      <c r="B15" s="59">
        <v>7</v>
      </c>
      <c r="C15" s="29">
        <f>ROUND(($E$2*$F$2*$G$2*Средн!$D$22*B15)/100,2)</f>
        <v>0</v>
      </c>
    </row>
    <row r="16" spans="1:7" x14ac:dyDescent="0.35">
      <c r="A16" s="31" t="s">
        <v>128</v>
      </c>
      <c r="B16" s="59">
        <v>10</v>
      </c>
      <c r="C16" s="29">
        <f>ROUND(($E$2*$F$2*$G$2*Средн!$D$22*B16)/100,2)</f>
        <v>0</v>
      </c>
    </row>
    <row r="17" spans="1:8" x14ac:dyDescent="0.35">
      <c r="A17" s="31" t="s">
        <v>78</v>
      </c>
      <c r="B17" s="59">
        <v>2</v>
      </c>
      <c r="C17" s="29">
        <f>ROUND(($E$2*$F$2*$G$2*Средн!$D$22*B17)/100,2)</f>
        <v>0</v>
      </c>
    </row>
    <row r="18" spans="1:8" x14ac:dyDescent="0.35">
      <c r="A18" s="31" t="s">
        <v>129</v>
      </c>
      <c r="B18" s="59">
        <v>8</v>
      </c>
      <c r="C18" s="29">
        <f>ROUND(($E$2*$F$2*$G$2*Средн!$D$22*B18)/100,2)</f>
        <v>0</v>
      </c>
    </row>
    <row r="19" spans="1:8" x14ac:dyDescent="0.35">
      <c r="A19" s="31" t="s">
        <v>130</v>
      </c>
      <c r="B19" s="59">
        <v>18</v>
      </c>
      <c r="C19" s="29">
        <f>ROUND(($E$2*$F$2*$G$2*Средн!$D$22*B19)/100,2)</f>
        <v>0</v>
      </c>
    </row>
    <row r="20" spans="1:8" x14ac:dyDescent="0.35">
      <c r="A20" s="31" t="s">
        <v>131</v>
      </c>
      <c r="B20" s="59">
        <v>2</v>
      </c>
      <c r="C20" s="29">
        <f>ROUND(($E$2*$F$2*$G$2*Средн!$D$22*B20)/100,2)</f>
        <v>0</v>
      </c>
    </row>
    <row r="21" spans="1:8" x14ac:dyDescent="0.35">
      <c r="A21" s="31" t="s">
        <v>132</v>
      </c>
      <c r="B21" s="59">
        <v>2</v>
      </c>
      <c r="C21" s="29">
        <f>ROUND(($E$2*$F$2*$G$2*Средн!$D$22*B21)/100,2)</f>
        <v>0</v>
      </c>
    </row>
    <row r="22" spans="1:8" x14ac:dyDescent="0.35">
      <c r="A22" s="31" t="s">
        <v>79</v>
      </c>
      <c r="B22" s="59">
        <v>3</v>
      </c>
      <c r="C22" s="29">
        <f>ROUND(($E$2*$F$2*$G$2*Средн!$D$22*B22)/100,2)</f>
        <v>0</v>
      </c>
    </row>
    <row r="23" spans="1:8" x14ac:dyDescent="0.35">
      <c r="B23" s="33">
        <f>SUM(B3:B22)</f>
        <v>158</v>
      </c>
      <c r="C23" s="33">
        <f>SUM(C3:C22)</f>
        <v>0</v>
      </c>
      <c r="F23" s="36"/>
      <c r="G23" s="37"/>
      <c r="H23" s="37"/>
    </row>
    <row r="24" spans="1:8" x14ac:dyDescent="0.35">
      <c r="A24" s="34"/>
      <c r="B24" s="60"/>
      <c r="C24" s="35"/>
      <c r="F24" s="36"/>
      <c r="G24" s="37"/>
      <c r="H24" s="37"/>
    </row>
    <row r="25" spans="1:8" x14ac:dyDescent="0.35">
      <c r="A25" s="56" t="s">
        <v>214</v>
      </c>
      <c r="B25" s="60"/>
      <c r="F25" s="36"/>
      <c r="G25" s="37"/>
      <c r="H25" s="37"/>
    </row>
    <row r="26" spans="1:8" x14ac:dyDescent="0.35">
      <c r="A26" s="46" t="s">
        <v>117</v>
      </c>
      <c r="B26" s="57" t="s">
        <v>133</v>
      </c>
      <c r="C26" s="46" t="s">
        <v>134</v>
      </c>
      <c r="F26" s="36"/>
      <c r="G26" s="37"/>
      <c r="H26" s="37"/>
    </row>
    <row r="27" spans="1:8" x14ac:dyDescent="0.35">
      <c r="A27" s="31" t="s">
        <v>135</v>
      </c>
      <c r="B27" s="62">
        <v>50</v>
      </c>
      <c r="C27" s="29">
        <f>ROUND(($E$2*$F$2*$G$2*Средн!$D$22*B27)/100,2)</f>
        <v>0</v>
      </c>
      <c r="D27" s="30" t="s">
        <v>225</v>
      </c>
      <c r="F27" s="36"/>
      <c r="G27" s="38"/>
      <c r="H27" s="38"/>
    </row>
    <row r="28" spans="1:8" x14ac:dyDescent="0.35">
      <c r="A28" s="31" t="s">
        <v>136</v>
      </c>
      <c r="B28" s="62">
        <v>14</v>
      </c>
      <c r="C28" s="29">
        <f>ROUND(($E$2*$F$2*$G$2*Средн!$D$22*B28)/100,2)</f>
        <v>0</v>
      </c>
    </row>
    <row r="29" spans="1:8" x14ac:dyDescent="0.35">
      <c r="A29" s="31" t="s">
        <v>137</v>
      </c>
      <c r="B29" s="62">
        <v>1.9</v>
      </c>
      <c r="C29" s="29">
        <f>ROUND(($E$2*$F$2*$G$2*Средн!$D$22*B29)/100,2)</f>
        <v>0</v>
      </c>
    </row>
    <row r="30" spans="1:8" x14ac:dyDescent="0.35">
      <c r="A30" s="31" t="s">
        <v>138</v>
      </c>
      <c r="B30" s="62">
        <v>0.8</v>
      </c>
      <c r="C30" s="29">
        <f>ROUND(($E$2*$F$2*$G$2*Средн!$D$22*B30)/100,2)</f>
        <v>0</v>
      </c>
    </row>
    <row r="31" spans="1:8" x14ac:dyDescent="0.35">
      <c r="A31" s="31" t="s">
        <v>139</v>
      </c>
      <c r="B31" s="62">
        <v>1.9</v>
      </c>
      <c r="C31" s="29">
        <f>ROUND(($E$2*$F$2*$G$2*Средн!$D$22*B31)/100,2)</f>
        <v>0</v>
      </c>
    </row>
    <row r="32" spans="1:8" x14ac:dyDescent="0.35">
      <c r="A32" s="31" t="s">
        <v>140</v>
      </c>
      <c r="B32" s="62">
        <v>0.8</v>
      </c>
      <c r="C32" s="29">
        <f>ROUND(($E$2*$F$2*$G$2*Средн!$D$22*B32)/100,2)</f>
        <v>0</v>
      </c>
    </row>
    <row r="33" spans="1:4" x14ac:dyDescent="0.35">
      <c r="A33" s="31" t="s">
        <v>141</v>
      </c>
      <c r="B33" s="62">
        <v>0.8</v>
      </c>
      <c r="C33" s="29">
        <f>ROUND(($E$2*$F$2*$G$2*Средн!$D$22*B33)/100,2)</f>
        <v>0</v>
      </c>
    </row>
    <row r="34" spans="1:4" x14ac:dyDescent="0.35">
      <c r="A34" s="31" t="s">
        <v>142</v>
      </c>
      <c r="B34" s="62">
        <v>1.4</v>
      </c>
      <c r="C34" s="29">
        <f>ROUND(($E$2*$F$2*$G$2*Средн!$D$22*B34)/100,2)</f>
        <v>0</v>
      </c>
    </row>
    <row r="35" spans="1:4" x14ac:dyDescent="0.35">
      <c r="A35" s="31" t="s">
        <v>143</v>
      </c>
      <c r="B35" s="62">
        <v>1.7</v>
      </c>
      <c r="C35" s="29">
        <f>ROUND(($E$2*$F$2*$G$2*Средн!$D$22*B35)/100,2)</f>
        <v>0</v>
      </c>
    </row>
    <row r="36" spans="1:4" x14ac:dyDescent="0.35">
      <c r="A36" s="31" t="s">
        <v>144</v>
      </c>
      <c r="B36" s="62">
        <v>1.4</v>
      </c>
      <c r="C36" s="29">
        <f>ROUND(($E$2*$F$2*$G$2*Средн!$D$22*B36)/100,2)</f>
        <v>0</v>
      </c>
    </row>
    <row r="37" spans="1:4" x14ac:dyDescent="0.35">
      <c r="A37" s="31" t="s">
        <v>145</v>
      </c>
      <c r="B37" s="62">
        <v>0.3</v>
      </c>
      <c r="C37" s="29">
        <f>ROUND(($E$2*$F$2*$G$2*Средн!$D$22*B37)/100,2)</f>
        <v>0</v>
      </c>
    </row>
    <row r="38" spans="1:4" x14ac:dyDescent="0.35">
      <c r="A38" s="31" t="s">
        <v>146</v>
      </c>
      <c r="B38" s="62">
        <v>12</v>
      </c>
      <c r="C38" s="29">
        <f>ROUND(($E$2*$F$2*$G$2*Средн!$D$22*B38)/100,2)</f>
        <v>0</v>
      </c>
      <c r="D38" s="30" t="s">
        <v>224</v>
      </c>
    </row>
    <row r="39" spans="1:4" x14ac:dyDescent="0.35">
      <c r="A39" s="31" t="s">
        <v>147</v>
      </c>
      <c r="B39" s="62">
        <v>1.6</v>
      </c>
      <c r="C39" s="29">
        <f>ROUND(($E$2*$F$2*$G$2*Средн!$D$22*B39)/100,2)</f>
        <v>0</v>
      </c>
    </row>
    <row r="40" spans="1:4" x14ac:dyDescent="0.35">
      <c r="A40" s="31" t="s">
        <v>148</v>
      </c>
      <c r="B40" s="62">
        <v>2.1</v>
      </c>
      <c r="C40" s="29">
        <f>ROUND(($E$2*$F$2*$G$2*Средн!$D$22*B40)/100,2)</f>
        <v>0</v>
      </c>
      <c r="D40" s="30" t="s">
        <v>223</v>
      </c>
    </row>
    <row r="41" spans="1:4" x14ac:dyDescent="0.35">
      <c r="A41" s="31" t="s">
        <v>149</v>
      </c>
      <c r="B41" s="62">
        <v>1.9</v>
      </c>
      <c r="C41" s="29">
        <f>ROUND(($E$2*$F$2*$G$2*Средн!$D$22*B41)/100,2)</f>
        <v>0</v>
      </c>
    </row>
    <row r="42" spans="1:4" x14ac:dyDescent="0.35">
      <c r="A42" s="31" t="s">
        <v>150</v>
      </c>
      <c r="B42" s="62">
        <v>0.8</v>
      </c>
      <c r="C42" s="29">
        <f>ROUND(($E$2*$F$2*$G$2*Средн!$D$22*B42)/100,2)</f>
        <v>0</v>
      </c>
    </row>
    <row r="43" spans="1:4" x14ac:dyDescent="0.35">
      <c r="A43" s="31" t="s">
        <v>151</v>
      </c>
      <c r="B43" s="62">
        <v>0.8</v>
      </c>
      <c r="C43" s="29">
        <f>ROUND(($E$2*$F$2*$G$2*Средн!$D$22*B43)/100,2)</f>
        <v>0</v>
      </c>
    </row>
    <row r="44" spans="1:4" x14ac:dyDescent="0.35">
      <c r="A44" s="31" t="s">
        <v>152</v>
      </c>
      <c r="B44" s="62">
        <v>1.1000000000000001</v>
      </c>
      <c r="C44" s="29">
        <f>ROUND(($E$2*$F$2*$G$2*Средн!$D$22*B44)/100,2)</f>
        <v>0</v>
      </c>
    </row>
    <row r="45" spans="1:4" x14ac:dyDescent="0.35">
      <c r="A45" s="31" t="s">
        <v>153</v>
      </c>
      <c r="B45" s="62">
        <v>1.6</v>
      </c>
      <c r="C45" s="29">
        <f>ROUND(($E$2*$F$2*$G$2*Средн!$D$22*B45)/100,2)</f>
        <v>0</v>
      </c>
    </row>
    <row r="46" spans="1:4" x14ac:dyDescent="0.35">
      <c r="A46" s="31" t="s">
        <v>154</v>
      </c>
      <c r="B46" s="62">
        <v>24</v>
      </c>
      <c r="C46" s="29">
        <f>ROUND(($E$2*$F$2*$G$2*Средн!$D$22*B46)/100,2)</f>
        <v>0</v>
      </c>
      <c r="D46" s="30" t="s">
        <v>222</v>
      </c>
    </row>
    <row r="47" spans="1:4" x14ac:dyDescent="0.35">
      <c r="A47" s="31" t="s">
        <v>155</v>
      </c>
      <c r="B47" s="62">
        <v>1.4</v>
      </c>
      <c r="C47" s="29">
        <f>ROUND(($E$2*$F$2*$G$2*Средн!$D$22*B47)/100,2)</f>
        <v>0</v>
      </c>
    </row>
    <row r="48" spans="1:4" x14ac:dyDescent="0.35">
      <c r="A48" s="31" t="s">
        <v>156</v>
      </c>
      <c r="B48" s="62">
        <v>1.4</v>
      </c>
      <c r="C48" s="29">
        <f>ROUND(($E$2*$F$2*$G$2*Средн!$D$22*B48)/100,2)</f>
        <v>0</v>
      </c>
      <c r="D48" s="30" t="s">
        <v>221</v>
      </c>
    </row>
    <row r="49" spans="1:4" x14ac:dyDescent="0.35">
      <c r="A49" s="31" t="s">
        <v>157</v>
      </c>
      <c r="B49" s="62">
        <v>2.5</v>
      </c>
      <c r="C49" s="29">
        <f>ROUND(($E$2*$F$2*$G$2*Средн!$D$22*B49)/100,2)</f>
        <v>0</v>
      </c>
      <c r="D49" s="30" t="s">
        <v>226</v>
      </c>
    </row>
    <row r="50" spans="1:4" x14ac:dyDescent="0.35">
      <c r="A50" s="31" t="s">
        <v>158</v>
      </c>
      <c r="B50" s="62">
        <v>1.9</v>
      </c>
      <c r="C50" s="29">
        <f>ROUND(($E$2*$F$2*$G$2*Средн!$D$22*B50)/100,2)</f>
        <v>0</v>
      </c>
    </row>
    <row r="51" spans="1:4" x14ac:dyDescent="0.35">
      <c r="A51" s="31" t="s">
        <v>159</v>
      </c>
      <c r="B51" s="62">
        <v>0.5</v>
      </c>
      <c r="C51" s="29">
        <f>ROUND(($E$2*$F$2*$G$2*Средн!$D$22*B51)/100,2)</f>
        <v>0</v>
      </c>
    </row>
    <row r="52" spans="1:4" x14ac:dyDescent="0.35">
      <c r="A52" s="31" t="s">
        <v>160</v>
      </c>
      <c r="B52" s="62">
        <v>1.1000000000000001</v>
      </c>
      <c r="C52" s="29">
        <f>ROUND(($E$2*$F$2*$G$2*Средн!$D$22*B52)/100,2)</f>
        <v>0</v>
      </c>
    </row>
    <row r="53" spans="1:4" x14ac:dyDescent="0.35">
      <c r="A53" s="31" t="s">
        <v>161</v>
      </c>
      <c r="B53" s="62">
        <v>3.5</v>
      </c>
      <c r="C53" s="29">
        <f>ROUND(($E$2*$F$2*$G$2*Средн!$D$22*B53)/100,2)</f>
        <v>0</v>
      </c>
    </row>
    <row r="54" spans="1:4" x14ac:dyDescent="0.35">
      <c r="A54" s="31" t="s">
        <v>162</v>
      </c>
      <c r="B54" s="62">
        <v>0.8</v>
      </c>
      <c r="C54" s="29">
        <f>ROUND(($E$2*$F$2*$G$2*Средн!$D$22*B54)/100,2)</f>
        <v>0</v>
      </c>
    </row>
    <row r="55" spans="1:4" x14ac:dyDescent="0.35">
      <c r="A55" s="31" t="s">
        <v>163</v>
      </c>
      <c r="B55" s="62">
        <v>2.5</v>
      </c>
      <c r="C55" s="29">
        <f>ROUND(($E$2*$F$2*$G$2*Средн!$D$22*B55)/100,2)</f>
        <v>0</v>
      </c>
    </row>
    <row r="56" spans="1:4" x14ac:dyDescent="0.35">
      <c r="A56" s="31" t="s">
        <v>164</v>
      </c>
      <c r="B56" s="62">
        <v>0.3</v>
      </c>
      <c r="C56" s="29">
        <f>ROUND(($E$2*$F$2*$G$2*Средн!$D$22*B56)/100,2)</f>
        <v>0</v>
      </c>
    </row>
    <row r="57" spans="1:4" x14ac:dyDescent="0.35">
      <c r="A57" s="31" t="s">
        <v>165</v>
      </c>
      <c r="B57" s="62">
        <v>0.6</v>
      </c>
      <c r="C57" s="29">
        <f>ROUND(($E$2*$F$2*$G$2*Средн!$D$22*B57)/100,2)</f>
        <v>0</v>
      </c>
    </row>
    <row r="58" spans="1:4" x14ac:dyDescent="0.35">
      <c r="A58" s="31" t="s">
        <v>166</v>
      </c>
      <c r="B58" s="62">
        <v>11</v>
      </c>
      <c r="C58" s="29">
        <f>ROUND(($E$2*$F$2*$G$2*Средн!$D$22*B58)/100,2)</f>
        <v>0</v>
      </c>
      <c r="D58" s="30" t="s">
        <v>220</v>
      </c>
    </row>
    <row r="59" spans="1:4" x14ac:dyDescent="0.35">
      <c r="A59" s="31" t="s">
        <v>167</v>
      </c>
      <c r="B59" s="62">
        <v>4.9000000000000004</v>
      </c>
      <c r="C59" s="29">
        <f>ROUND(($E$2*$F$2*$G$2*Средн!$D$22*B59)/100,2)</f>
        <v>0</v>
      </c>
    </row>
    <row r="60" spans="1:4" x14ac:dyDescent="0.35">
      <c r="A60" s="31" t="s">
        <v>168</v>
      </c>
      <c r="B60" s="62">
        <v>0.5</v>
      </c>
      <c r="C60" s="29">
        <f>ROUND(($E$2*$F$2*$G$2*Средн!$D$22*B60)/100,2)</f>
        <v>0</v>
      </c>
    </row>
    <row r="61" spans="1:4" x14ac:dyDescent="0.35">
      <c r="A61" s="31" t="s">
        <v>169</v>
      </c>
      <c r="B61" s="62">
        <v>0.5</v>
      </c>
      <c r="C61" s="29">
        <f>ROUND(($E$2*$F$2*$G$2*Средн!$D$22*B61)/100,2)</f>
        <v>0</v>
      </c>
    </row>
    <row r="62" spans="1:4" x14ac:dyDescent="0.35">
      <c r="A62" s="31" t="s">
        <v>170</v>
      </c>
      <c r="B62" s="62">
        <v>2.2000000000000002</v>
      </c>
      <c r="C62" s="29">
        <f>ROUND(($E$2*$F$2*$G$2*Средн!$D$22*B62)/100,2)</f>
        <v>0</v>
      </c>
    </row>
    <row r="63" spans="1:4" x14ac:dyDescent="0.35">
      <c r="A63" s="31" t="s">
        <v>171</v>
      </c>
      <c r="B63" s="62">
        <v>1.4</v>
      </c>
      <c r="C63" s="29">
        <f>ROUND(($E$2*$F$2*$G$2*Средн!$D$22*B63)/100,2)</f>
        <v>0</v>
      </c>
    </row>
    <row r="64" spans="1:4" x14ac:dyDescent="0.35">
      <c r="A64" s="31" t="s">
        <v>172</v>
      </c>
      <c r="B64" s="62">
        <v>0.8</v>
      </c>
      <c r="C64" s="29">
        <f>ROUND(($E$2*$F$2*$G$2*Средн!$D$22*B64)/100,2)</f>
        <v>0</v>
      </c>
    </row>
    <row r="65" spans="1:4" x14ac:dyDescent="0.35">
      <c r="A65" s="31" t="s">
        <v>173</v>
      </c>
      <c r="B65" s="62">
        <v>0.5</v>
      </c>
      <c r="C65" s="29">
        <f>ROUND(($E$2*$F$2*$G$2*Средн!$D$22*B65)/100,2)</f>
        <v>0</v>
      </c>
    </row>
    <row r="66" spans="1:4" x14ac:dyDescent="0.35">
      <c r="A66" s="31" t="s">
        <v>174</v>
      </c>
      <c r="B66" s="62">
        <v>0.5</v>
      </c>
      <c r="C66" s="29">
        <f>ROUND(($E$2*$F$2*$G$2*Средн!$D$22*B66)/100,2)</f>
        <v>0</v>
      </c>
    </row>
    <row r="67" spans="1:4" x14ac:dyDescent="0.35">
      <c r="A67" s="31" t="s">
        <v>175</v>
      </c>
      <c r="B67" s="62">
        <v>0.8</v>
      </c>
      <c r="C67" s="29">
        <f>ROUND(($E$2*$F$2*$G$2*Средн!$D$22*B67)/100,2)</f>
        <v>0</v>
      </c>
    </row>
    <row r="68" spans="1:4" x14ac:dyDescent="0.35">
      <c r="A68" s="31" t="s">
        <v>176</v>
      </c>
      <c r="B68" s="62">
        <v>0.5</v>
      </c>
      <c r="C68" s="29">
        <f>ROUND(($E$2*$F$2*$G$2*Средн!$D$22*B68)/100,2)</f>
        <v>0</v>
      </c>
    </row>
    <row r="69" spans="1:4" x14ac:dyDescent="0.35">
      <c r="A69" s="31" t="s">
        <v>177</v>
      </c>
      <c r="B69" s="62">
        <v>0.5</v>
      </c>
      <c r="C69" s="29">
        <f>ROUND(($E$2*$F$2*$G$2*Средн!$D$22*B69)/100,2)</f>
        <v>0</v>
      </c>
    </row>
    <row r="70" spans="1:4" x14ac:dyDescent="0.35">
      <c r="A70" s="31" t="s">
        <v>178</v>
      </c>
      <c r="B70" s="62">
        <v>0.8</v>
      </c>
      <c r="C70" s="29">
        <f>ROUND(($E$2*$F$2*$G$2*Средн!$D$22*B70)/100,2)</f>
        <v>0</v>
      </c>
    </row>
    <row r="71" spans="1:4" x14ac:dyDescent="0.35">
      <c r="A71" s="31" t="s">
        <v>179</v>
      </c>
      <c r="B71" s="62">
        <v>1.4</v>
      </c>
      <c r="C71" s="29">
        <f>ROUND(($E$2*$F$2*$G$2*Средн!$D$22*B71)/100,2)</f>
        <v>0</v>
      </c>
      <c r="D71" s="30" t="s">
        <v>215</v>
      </c>
    </row>
    <row r="72" spans="1:4" x14ac:dyDescent="0.35">
      <c r="A72" s="31" t="s">
        <v>180</v>
      </c>
      <c r="B72" s="62">
        <v>0.6</v>
      </c>
      <c r="C72" s="29">
        <f>ROUND(($E$2*$F$2*$G$2*Средн!$D$22*B72)/100,2)</f>
        <v>0</v>
      </c>
      <c r="D72" s="30" t="s">
        <v>215</v>
      </c>
    </row>
    <row r="73" spans="1:4" x14ac:dyDescent="0.35">
      <c r="A73" s="31" t="s">
        <v>181</v>
      </c>
      <c r="B73" s="62">
        <v>2.5</v>
      </c>
      <c r="C73" s="29">
        <f>ROUND(($E$2*$F$2*$G$2*Средн!$D$22*B73)/100,2)</f>
        <v>0</v>
      </c>
    </row>
    <row r="74" spans="1:4" x14ac:dyDescent="0.35">
      <c r="A74" s="31" t="s">
        <v>182</v>
      </c>
      <c r="B74" s="62">
        <v>0.7</v>
      </c>
      <c r="C74" s="29">
        <f>ROUND(($E$2*$F$2*$G$2*Средн!$D$22*B74)/100,2)</f>
        <v>0</v>
      </c>
    </row>
    <row r="75" spans="1:4" x14ac:dyDescent="0.35">
      <c r="A75" s="31" t="s">
        <v>183</v>
      </c>
      <c r="B75" s="62">
        <v>1.8</v>
      </c>
      <c r="C75" s="29">
        <f>ROUND(($E$2*$F$2*$G$2*Средн!$D$22*B75)/100,2)</f>
        <v>0</v>
      </c>
    </row>
    <row r="76" spans="1:4" x14ac:dyDescent="0.35">
      <c r="A76" s="31" t="s">
        <v>184</v>
      </c>
      <c r="B76" s="62">
        <v>4.5</v>
      </c>
      <c r="C76" s="29">
        <f>ROUND(($E$2*$F$2*$G$2*Средн!$D$22*B76)/100,2)</f>
        <v>0</v>
      </c>
    </row>
    <row r="77" spans="1:4" x14ac:dyDescent="0.35">
      <c r="A77" s="31" t="s">
        <v>185</v>
      </c>
      <c r="B77" s="62">
        <v>4.5</v>
      </c>
      <c r="C77" s="29">
        <f>ROUND(($E$2*$F$2*$G$2*Средн!$D$22*B77)/100,2)</f>
        <v>0</v>
      </c>
    </row>
    <row r="78" spans="1:4" x14ac:dyDescent="0.35">
      <c r="A78" s="31" t="s">
        <v>186</v>
      </c>
      <c r="B78" s="62">
        <v>10</v>
      </c>
      <c r="C78" s="29">
        <f>ROUND(($E$2*$F$2*$G$2*Средн!$D$22*B78)/100,2)</f>
        <v>0</v>
      </c>
    </row>
    <row r="79" spans="1:4" x14ac:dyDescent="0.35">
      <c r="A79" s="31" t="s">
        <v>187</v>
      </c>
      <c r="B79" s="62">
        <v>5.5</v>
      </c>
      <c r="C79" s="29">
        <f>ROUND(($E$2*$F$2*$G$2*Средн!$D$22*B79)/100,2)</f>
        <v>0</v>
      </c>
      <c r="D79" s="30" t="s">
        <v>218</v>
      </c>
    </row>
    <row r="80" spans="1:4" x14ac:dyDescent="0.35">
      <c r="A80" s="31" t="s">
        <v>188</v>
      </c>
      <c r="B80" s="62">
        <v>4.5</v>
      </c>
      <c r="C80" s="29">
        <f>ROUND(($E$2*$F$2*$G$2*Средн!$D$22*B80)/100,2)</f>
        <v>0</v>
      </c>
      <c r="D80" s="30" t="s">
        <v>217</v>
      </c>
    </row>
    <row r="81" spans="1:4" x14ac:dyDescent="0.35">
      <c r="A81" s="31" t="s">
        <v>189</v>
      </c>
      <c r="B81" s="62">
        <v>10</v>
      </c>
      <c r="C81" s="29">
        <f>ROUND(($E$2*$F$2*$G$2*Средн!$D$22*B81)/100,2)</f>
        <v>0</v>
      </c>
      <c r="D81" s="30" t="s">
        <v>219</v>
      </c>
    </row>
    <row r="82" spans="1:4" x14ac:dyDescent="0.35">
      <c r="A82" s="31" t="s">
        <v>190</v>
      </c>
      <c r="B82" s="62">
        <v>3</v>
      </c>
      <c r="C82" s="29">
        <f>ROUND(($E$2*$F$2*$G$2*Средн!$D$22*B82)/100,2)</f>
        <v>0</v>
      </c>
    </row>
    <row r="83" spans="1:4" x14ac:dyDescent="0.35">
      <c r="A83" s="31" t="s">
        <v>191</v>
      </c>
      <c r="B83" s="62">
        <v>0.5</v>
      </c>
      <c r="C83" s="29">
        <f>ROUND(($E$2*$F$2*$G$2*Средн!$D$22*B83)/100,2)</f>
        <v>0</v>
      </c>
    </row>
    <row r="84" spans="1:4" x14ac:dyDescent="0.35">
      <c r="A84" s="31" t="s">
        <v>192</v>
      </c>
      <c r="B84" s="62">
        <v>0.8</v>
      </c>
      <c r="C84" s="29">
        <f>ROUND(($E$2*$F$2*$G$2*Средн!$D$22*B84)/100,2)</f>
        <v>0</v>
      </c>
    </row>
    <row r="85" spans="1:4" x14ac:dyDescent="0.35">
      <c r="A85" s="31" t="s">
        <v>78</v>
      </c>
      <c r="B85" s="62">
        <v>1.2</v>
      </c>
      <c r="C85" s="29">
        <f>ROUND(($E$2*$F$2*$G$2*Средн!$D$22*B85)/100,2)</f>
        <v>0</v>
      </c>
    </row>
    <row r="86" spans="1:4" x14ac:dyDescent="0.35">
      <c r="A86" s="31" t="s">
        <v>193</v>
      </c>
      <c r="B86" s="62">
        <v>0.5</v>
      </c>
      <c r="C86" s="29">
        <f>ROUND(($E$2*$F$2*$G$2*Средн!$D$22*B86)/100,2)</f>
        <v>0</v>
      </c>
    </row>
    <row r="87" spans="1:4" x14ac:dyDescent="0.35">
      <c r="A87" s="31" t="s">
        <v>194</v>
      </c>
      <c r="B87" s="62">
        <v>0.3</v>
      </c>
      <c r="C87" s="29">
        <f>ROUND(($E$2*$F$2*$G$2*Средн!$D$22*B87)/100,2)</f>
        <v>0</v>
      </c>
    </row>
    <row r="88" spans="1:4" x14ac:dyDescent="0.35">
      <c r="A88" s="31" t="s">
        <v>195</v>
      </c>
      <c r="B88" s="62">
        <v>3.5</v>
      </c>
      <c r="C88" s="29">
        <f>ROUND(($E$2*$F$2*$G$2*Средн!$D$22*B88)/100,2)</f>
        <v>0</v>
      </c>
    </row>
    <row r="89" spans="1:4" x14ac:dyDescent="0.35">
      <c r="A89" s="31" t="s">
        <v>196</v>
      </c>
      <c r="B89" s="62">
        <v>0.5</v>
      </c>
      <c r="C89" s="29">
        <f>ROUND(($E$2*$F$2*$G$2*Средн!$D$22*B89)/100,2)</f>
        <v>0</v>
      </c>
    </row>
    <row r="90" spans="1:4" x14ac:dyDescent="0.35">
      <c r="A90" s="31" t="s">
        <v>197</v>
      </c>
      <c r="B90" s="62">
        <v>0.5</v>
      </c>
      <c r="C90" s="29">
        <f>ROUND(($E$2*$F$2*$G$2*Средн!$D$22*B90)/100,2)</f>
        <v>0</v>
      </c>
    </row>
    <row r="91" spans="1:4" x14ac:dyDescent="0.35">
      <c r="A91" s="31" t="s">
        <v>198</v>
      </c>
      <c r="B91" s="62">
        <v>0.3</v>
      </c>
      <c r="C91" s="29">
        <f>ROUND(($E$2*$F$2*$G$2*Средн!$D$22*B91)/100,2)</f>
        <v>0</v>
      </c>
    </row>
    <row r="92" spans="1:4" x14ac:dyDescent="0.35">
      <c r="A92" s="31" t="s">
        <v>199</v>
      </c>
      <c r="B92" s="62">
        <v>0.7</v>
      </c>
      <c r="C92" s="29">
        <f>ROUND(($E$2*$F$2*$G$2*Средн!$D$22*B92)/100,2)</f>
        <v>0</v>
      </c>
    </row>
    <row r="93" spans="1:4" x14ac:dyDescent="0.35">
      <c r="A93" s="31" t="s">
        <v>200</v>
      </c>
      <c r="B93" s="62">
        <v>12.5</v>
      </c>
      <c r="C93" s="29">
        <f>ROUND(($E$2*$F$2*$G$2*Средн!$D$22*B93)/100,2)</f>
        <v>0</v>
      </c>
    </row>
    <row r="94" spans="1:4" x14ac:dyDescent="0.35">
      <c r="A94" s="31" t="s">
        <v>201</v>
      </c>
      <c r="B94" s="62">
        <v>0.5</v>
      </c>
      <c r="C94" s="29">
        <f>ROUND(($E$2*$F$2*$G$2*Средн!$D$22*B94)/100,2)</f>
        <v>0</v>
      </c>
    </row>
    <row r="95" spans="1:4" x14ac:dyDescent="0.35">
      <c r="A95" s="31" t="s">
        <v>202</v>
      </c>
      <c r="B95" s="62">
        <v>0.5</v>
      </c>
      <c r="C95" s="29">
        <f>ROUND(($E$2*$F$2*$G$2*Средн!$D$22*B95)/100,2)</f>
        <v>0</v>
      </c>
    </row>
    <row r="96" spans="1:4" x14ac:dyDescent="0.35">
      <c r="A96" s="31" t="s">
        <v>203</v>
      </c>
      <c r="B96" s="62">
        <v>1</v>
      </c>
      <c r="C96" s="29">
        <f>ROUND(($E$2*$F$2*$G$2*Средн!$D$22*B96)/100,2)</f>
        <v>0</v>
      </c>
    </row>
    <row r="97" spans="1:4" x14ac:dyDescent="0.35">
      <c r="A97" s="31" t="s">
        <v>204</v>
      </c>
      <c r="B97" s="62">
        <v>0.5</v>
      </c>
      <c r="C97" s="29">
        <f>ROUND(($E$2*$F$2*$G$2*Средн!$D$22*B97)/100,2)</f>
        <v>0</v>
      </c>
    </row>
    <row r="98" spans="1:4" x14ac:dyDescent="0.35">
      <c r="A98" s="31" t="s">
        <v>205</v>
      </c>
      <c r="B98" s="62">
        <v>0.8</v>
      </c>
      <c r="C98" s="29">
        <f>ROUND(($E$2*$F$2*$G$2*Средн!$D$22*B98)/100,2)</f>
        <v>0</v>
      </c>
    </row>
    <row r="99" spans="1:4" x14ac:dyDescent="0.35">
      <c r="A99" s="31" t="s">
        <v>206</v>
      </c>
      <c r="B99" s="62">
        <v>2.1</v>
      </c>
      <c r="C99" s="29">
        <f>ROUND(($E$2*$F$2*$G$2*Средн!$D$22*B99)/100,2)</f>
        <v>0</v>
      </c>
    </row>
    <row r="100" spans="1:4" x14ac:dyDescent="0.35">
      <c r="A100" s="31" t="s">
        <v>207</v>
      </c>
      <c r="B100" s="62">
        <v>0.5</v>
      </c>
      <c r="C100" s="29">
        <f>ROUND(($E$2*$F$2*$G$2*Средн!$D$22*B100)/100,2)</f>
        <v>0</v>
      </c>
    </row>
    <row r="101" spans="1:4" x14ac:dyDescent="0.35">
      <c r="A101" s="31" t="s">
        <v>208</v>
      </c>
      <c r="B101" s="62">
        <v>0.6</v>
      </c>
      <c r="C101" s="29">
        <f>ROUND(($E$2*$F$2*$G$2*Средн!$D$22*B101)/100,2)</f>
        <v>0</v>
      </c>
    </row>
    <row r="102" spans="1:4" x14ac:dyDescent="0.35">
      <c r="A102" s="31" t="s">
        <v>209</v>
      </c>
      <c r="B102" s="62">
        <v>1.1000000000000001</v>
      </c>
      <c r="C102" s="29">
        <f>ROUND(($E$2*$F$2*$G$2*Средн!$D$22*B102)/100,2)</f>
        <v>0</v>
      </c>
    </row>
    <row r="103" spans="1:4" x14ac:dyDescent="0.35">
      <c r="A103" s="31" t="s">
        <v>210</v>
      </c>
      <c r="B103" s="62">
        <v>0.9</v>
      </c>
      <c r="C103" s="29">
        <f>ROUND(($E$2*$F$2*$G$2*Средн!$D$22*B103)/100,2)</f>
        <v>0</v>
      </c>
    </row>
    <row r="104" spans="1:4" x14ac:dyDescent="0.35">
      <c r="A104" s="31" t="s">
        <v>211</v>
      </c>
      <c r="B104" s="62">
        <v>0.8</v>
      </c>
      <c r="C104" s="29">
        <f>ROUND(($E$2*$F$2*$G$2*Средн!$D$22*B104)/100,2)</f>
        <v>0</v>
      </c>
    </row>
    <row r="105" spans="1:4" x14ac:dyDescent="0.35">
      <c r="A105" s="31" t="s">
        <v>212</v>
      </c>
      <c r="B105" s="62">
        <v>0.3</v>
      </c>
      <c r="C105" s="29">
        <f>ROUND(($E$2*$F$2*$G$2*Средн!$D$22*B105)/100,2)</f>
        <v>0</v>
      </c>
    </row>
    <row r="106" spans="1:4" x14ac:dyDescent="0.35">
      <c r="A106" s="31" t="s">
        <v>213</v>
      </c>
      <c r="B106" s="62">
        <v>0.8</v>
      </c>
      <c r="C106" s="29">
        <f>ROUND(($E$2*$F$2*$G$2*Средн!$D$22*B106)/100,2)</f>
        <v>0</v>
      </c>
    </row>
    <row r="107" spans="1:4" x14ac:dyDescent="0.35">
      <c r="A107" s="31" t="s">
        <v>79</v>
      </c>
      <c r="B107" s="62">
        <v>3</v>
      </c>
      <c r="C107" s="29">
        <f>ROUND(($E$2*$F$2*$G$2*Средн!$D$22*B107)/100,2)</f>
        <v>0</v>
      </c>
      <c r="D107" s="30" t="s">
        <v>216</v>
      </c>
    </row>
    <row r="108" spans="1:4" x14ac:dyDescent="0.35">
      <c r="B108" s="33">
        <f>SUM(B27:B107)</f>
        <v>246.00000000000009</v>
      </c>
      <c r="C108" s="33">
        <f>SUM(C27:C107)</f>
        <v>0</v>
      </c>
    </row>
    <row r="109" spans="1:4" x14ac:dyDescent="0.35">
      <c r="A109" s="30" t="s">
        <v>267</v>
      </c>
      <c r="B109" s="60"/>
      <c r="C109" s="33"/>
    </row>
    <row r="110" spans="1:4" x14ac:dyDescent="0.35">
      <c r="A110" s="30" t="s">
        <v>268</v>
      </c>
      <c r="B110" s="60"/>
      <c r="C110" s="33"/>
    </row>
    <row r="111" spans="1:4" x14ac:dyDescent="0.35">
      <c r="A111" s="30" t="s">
        <v>269</v>
      </c>
      <c r="B111" s="60"/>
      <c r="C111" s="33"/>
    </row>
    <row r="112" spans="1:4" x14ac:dyDescent="0.35">
      <c r="A112" s="30" t="s">
        <v>270</v>
      </c>
      <c r="B112" s="60"/>
      <c r="C112" s="33"/>
    </row>
    <row r="114" spans="1:9" x14ac:dyDescent="0.35">
      <c r="A114" s="56" t="s">
        <v>275</v>
      </c>
      <c r="B114" s="60"/>
    </row>
    <row r="115" spans="1:9" x14ac:dyDescent="0.35">
      <c r="A115" s="46" t="s">
        <v>117</v>
      </c>
      <c r="B115" s="65" t="s">
        <v>261</v>
      </c>
      <c r="C115" s="64" t="s">
        <v>134</v>
      </c>
      <c r="D115" s="65" t="s">
        <v>261</v>
      </c>
      <c r="E115" s="66" t="s">
        <v>262</v>
      </c>
      <c r="F115" s="67" t="s">
        <v>263</v>
      </c>
      <c r="G115" s="67" t="s">
        <v>264</v>
      </c>
      <c r="H115" s="67" t="s">
        <v>265</v>
      </c>
      <c r="I115" s="67" t="s">
        <v>266</v>
      </c>
    </row>
    <row r="116" spans="1:9" x14ac:dyDescent="0.35">
      <c r="A116" s="31" t="s">
        <v>227</v>
      </c>
      <c r="B116" s="62">
        <v>24</v>
      </c>
      <c r="C116" s="29">
        <f>ROUND(($E$2*$F$2*$G$2*Средн!$D$22*B116)/100,2)</f>
        <v>0</v>
      </c>
      <c r="D116" s="63" t="s">
        <v>228</v>
      </c>
      <c r="E116" s="63" t="s">
        <v>229</v>
      </c>
      <c r="F116" s="63" t="s">
        <v>230</v>
      </c>
      <c r="G116" s="63" t="s">
        <v>231</v>
      </c>
      <c r="H116" s="63" t="s">
        <v>232</v>
      </c>
      <c r="I116" s="63" t="s">
        <v>233</v>
      </c>
    </row>
    <row r="117" spans="1:9" x14ac:dyDescent="0.35">
      <c r="A117" s="31" t="s">
        <v>234</v>
      </c>
      <c r="B117" s="62">
        <v>1</v>
      </c>
      <c r="C117" s="29">
        <f>ROUND(($E$2*$F$2*$G$2*Средн!$D$22*B117)/100,2)</f>
        <v>0</v>
      </c>
      <c r="D117" s="62">
        <v>1</v>
      </c>
      <c r="E117" s="62">
        <v>1</v>
      </c>
      <c r="F117" s="62">
        <v>0.9</v>
      </c>
      <c r="G117" s="62">
        <v>0.9</v>
      </c>
      <c r="H117" s="62">
        <v>0.8</v>
      </c>
      <c r="I117" s="63">
        <v>1</v>
      </c>
    </row>
    <row r="118" spans="1:9" x14ac:dyDescent="0.35">
      <c r="A118" s="31" t="s">
        <v>137</v>
      </c>
      <c r="B118" s="62">
        <v>1.3</v>
      </c>
      <c r="C118" s="29">
        <f>ROUND(($E$2*$F$2*$G$2*Средн!$D$22*B118)/100,2)</f>
        <v>0</v>
      </c>
      <c r="D118" s="63" t="s">
        <v>271</v>
      </c>
      <c r="E118" s="63" t="s">
        <v>272</v>
      </c>
      <c r="F118" s="63" t="s">
        <v>272</v>
      </c>
      <c r="G118" s="63" t="s">
        <v>273</v>
      </c>
      <c r="H118" s="63" t="s">
        <v>274</v>
      </c>
      <c r="I118" s="63" t="s">
        <v>272</v>
      </c>
    </row>
    <row r="119" spans="1:9" x14ac:dyDescent="0.35">
      <c r="A119" s="31" t="s">
        <v>140</v>
      </c>
      <c r="B119" s="62">
        <v>0.4</v>
      </c>
      <c r="C119" s="29">
        <f>ROUND(($E$2*$F$2*$G$2*Средн!$D$22*B119)/100,2)</f>
        <v>0</v>
      </c>
      <c r="D119" s="62">
        <v>0.4</v>
      </c>
      <c r="E119" s="62">
        <v>0.4</v>
      </c>
      <c r="F119" s="62">
        <v>0.4</v>
      </c>
      <c r="G119" s="62">
        <v>0.4</v>
      </c>
      <c r="H119" s="62">
        <v>0.4</v>
      </c>
      <c r="I119" s="63">
        <v>0.4</v>
      </c>
    </row>
    <row r="120" spans="1:9" x14ac:dyDescent="0.35">
      <c r="A120" s="31" t="s">
        <v>143</v>
      </c>
      <c r="B120" s="62">
        <v>0.6</v>
      </c>
      <c r="C120" s="29">
        <f>ROUND(($E$2*$F$2*$G$2*Средн!$D$22*B120)/100,2)</f>
        <v>0</v>
      </c>
      <c r="D120" s="62">
        <v>0.6</v>
      </c>
      <c r="E120" s="62">
        <v>0.5</v>
      </c>
      <c r="F120" s="62">
        <v>0.5</v>
      </c>
      <c r="G120" s="62">
        <v>0.5</v>
      </c>
      <c r="H120" s="62">
        <v>0.4</v>
      </c>
      <c r="I120" s="63">
        <v>0.5</v>
      </c>
    </row>
    <row r="121" spans="1:9" x14ac:dyDescent="0.35">
      <c r="A121" s="31" t="s">
        <v>235</v>
      </c>
      <c r="B121" s="62">
        <v>0.5</v>
      </c>
      <c r="C121" s="29">
        <f>ROUND(($E$2*$F$2*$G$2*Средн!$D$22*B121)/100,2)</f>
        <v>0</v>
      </c>
      <c r="D121" s="62">
        <v>0.5</v>
      </c>
      <c r="E121" s="62">
        <v>0.5</v>
      </c>
      <c r="F121" s="62">
        <v>0.5</v>
      </c>
      <c r="G121" s="62">
        <v>0.5</v>
      </c>
      <c r="H121" s="62">
        <v>0.4</v>
      </c>
      <c r="I121" s="63">
        <v>0.5</v>
      </c>
    </row>
    <row r="122" spans="1:9" x14ac:dyDescent="0.35">
      <c r="A122" s="31" t="s">
        <v>149</v>
      </c>
      <c r="B122" s="62">
        <v>0.3</v>
      </c>
      <c r="C122" s="29">
        <f>ROUND(($E$2*$F$2*$G$2*Средн!$D$22*B122)/100,2)</f>
        <v>0</v>
      </c>
      <c r="D122" s="62">
        <v>0.3</v>
      </c>
      <c r="E122" s="62">
        <v>0.3</v>
      </c>
      <c r="F122" s="62">
        <v>0.3</v>
      </c>
      <c r="G122" s="62">
        <v>0.3</v>
      </c>
      <c r="H122" s="62">
        <v>0.3</v>
      </c>
      <c r="I122" s="63">
        <v>0.3</v>
      </c>
    </row>
    <row r="123" spans="1:9" x14ac:dyDescent="0.35">
      <c r="A123" s="31" t="s">
        <v>236</v>
      </c>
      <c r="B123" s="62">
        <v>0.9</v>
      </c>
      <c r="C123" s="29">
        <f>ROUND(($E$2*$F$2*$G$2*Средн!$D$22*B123)/100,2)</f>
        <v>0</v>
      </c>
      <c r="D123" s="62">
        <v>0.9</v>
      </c>
      <c r="E123" s="62">
        <v>0.8</v>
      </c>
      <c r="F123" s="62">
        <v>0.8</v>
      </c>
      <c r="G123" s="62">
        <v>0.7</v>
      </c>
      <c r="H123" s="62">
        <v>0.6</v>
      </c>
      <c r="I123" s="63">
        <v>0.8</v>
      </c>
    </row>
    <row r="124" spans="1:9" x14ac:dyDescent="0.35">
      <c r="A124" s="31" t="s">
        <v>237</v>
      </c>
      <c r="B124" s="62">
        <v>2.8</v>
      </c>
      <c r="C124" s="29">
        <f>ROUND(($E$2*$F$2*$G$2*Средн!$D$22*B124)/100,2)</f>
        <v>0</v>
      </c>
      <c r="D124" s="62">
        <v>2.8</v>
      </c>
      <c r="E124" s="62">
        <v>2.6</v>
      </c>
      <c r="F124" s="62">
        <v>2.5</v>
      </c>
      <c r="G124" s="62">
        <v>2.2999999999999998</v>
      </c>
      <c r="H124" s="62">
        <v>2</v>
      </c>
      <c r="I124" s="63">
        <v>2.6</v>
      </c>
    </row>
    <row r="125" spans="1:9" x14ac:dyDescent="0.35">
      <c r="A125" s="31" t="s">
        <v>238</v>
      </c>
      <c r="B125" s="62">
        <v>0.6</v>
      </c>
      <c r="C125" s="29">
        <f>ROUND(($E$2*$F$2*$G$2*Средн!$D$22*B125)/100,2)</f>
        <v>0</v>
      </c>
      <c r="D125" s="62">
        <v>0.6</v>
      </c>
      <c r="E125" s="62">
        <v>0.6</v>
      </c>
      <c r="F125" s="62">
        <v>0.6</v>
      </c>
      <c r="G125" s="62">
        <v>0.6</v>
      </c>
      <c r="H125" s="62">
        <v>0.5</v>
      </c>
      <c r="I125" s="63">
        <v>0.6</v>
      </c>
    </row>
    <row r="126" spans="1:9" x14ac:dyDescent="0.35">
      <c r="A126" s="31" t="s">
        <v>158</v>
      </c>
      <c r="B126" s="62">
        <v>2.1</v>
      </c>
      <c r="C126" s="29">
        <f>ROUND(($E$2*$F$2*$G$2*Средн!$D$22*B126)/100,2)</f>
        <v>0</v>
      </c>
      <c r="D126" s="62">
        <v>2.1</v>
      </c>
      <c r="E126" s="62">
        <v>2</v>
      </c>
      <c r="F126" s="62">
        <v>1.9</v>
      </c>
      <c r="G126" s="62">
        <v>1.8</v>
      </c>
      <c r="H126" s="62">
        <v>1.6</v>
      </c>
      <c r="I126" s="63">
        <v>2.1</v>
      </c>
    </row>
    <row r="127" spans="1:9" x14ac:dyDescent="0.35">
      <c r="A127" s="31" t="s">
        <v>239</v>
      </c>
      <c r="B127" s="62">
        <v>0.5</v>
      </c>
      <c r="C127" s="29">
        <f>ROUND(($E$2*$F$2*$G$2*Средн!$D$22*B127)/100,2)</f>
        <v>0</v>
      </c>
      <c r="D127" s="62">
        <v>0.5</v>
      </c>
      <c r="E127" s="62">
        <v>0.5</v>
      </c>
      <c r="F127" s="62">
        <v>0.5</v>
      </c>
      <c r="G127" s="62">
        <v>0.5</v>
      </c>
      <c r="H127" s="62">
        <v>0.5</v>
      </c>
      <c r="I127" s="63">
        <v>0.5</v>
      </c>
    </row>
    <row r="128" spans="1:9" x14ac:dyDescent="0.35">
      <c r="A128" s="31" t="s">
        <v>160</v>
      </c>
      <c r="B128" s="62">
        <v>0.8</v>
      </c>
      <c r="C128" s="29">
        <f>ROUND(($E$2*$F$2*$G$2*Средн!$D$22*B128)/100,2)</f>
        <v>0</v>
      </c>
      <c r="D128" s="62">
        <v>0.8</v>
      </c>
      <c r="E128" s="62">
        <v>0.8</v>
      </c>
      <c r="F128" s="62">
        <v>0.8</v>
      </c>
      <c r="G128" s="62">
        <v>0.8</v>
      </c>
      <c r="H128" s="62">
        <v>0.7</v>
      </c>
      <c r="I128" s="63">
        <v>0.8</v>
      </c>
    </row>
    <row r="129" spans="1:9" x14ac:dyDescent="0.35">
      <c r="A129" s="31" t="s">
        <v>240</v>
      </c>
      <c r="B129" s="62">
        <v>1.3</v>
      </c>
      <c r="C129" s="29">
        <f>ROUND(($E$2*$F$2*$G$2*Средн!$D$22*B129)/100,2)</f>
        <v>0</v>
      </c>
      <c r="D129" s="62">
        <v>1.3</v>
      </c>
      <c r="E129" s="62">
        <v>1.2</v>
      </c>
      <c r="F129" s="62">
        <v>1.2</v>
      </c>
      <c r="G129" s="62">
        <v>1.1000000000000001</v>
      </c>
      <c r="H129" s="62">
        <v>1</v>
      </c>
      <c r="I129" s="63">
        <v>1.2</v>
      </c>
    </row>
    <row r="130" spans="1:9" x14ac:dyDescent="0.35">
      <c r="A130" s="31" t="s">
        <v>241</v>
      </c>
      <c r="B130" s="62">
        <v>0.6</v>
      </c>
      <c r="C130" s="29">
        <f>ROUND(($E$2*$F$2*$G$2*Средн!$D$22*B130)/100,2)</f>
        <v>0</v>
      </c>
      <c r="D130" s="62">
        <v>0.6</v>
      </c>
      <c r="E130" s="62">
        <v>0.6</v>
      </c>
      <c r="F130" s="62">
        <v>0.6</v>
      </c>
      <c r="G130" s="62">
        <v>0.6</v>
      </c>
      <c r="H130" s="62">
        <v>0.6</v>
      </c>
      <c r="I130" s="63">
        <v>0.6</v>
      </c>
    </row>
    <row r="131" spans="1:9" x14ac:dyDescent="0.35">
      <c r="A131" s="31" t="s">
        <v>242</v>
      </c>
      <c r="B131" s="62">
        <v>0.7</v>
      </c>
      <c r="C131" s="29">
        <f>ROUND(($E$2*$F$2*$G$2*Средн!$D$22*B131)/100,2)</f>
        <v>0</v>
      </c>
      <c r="D131" s="62">
        <v>0.7</v>
      </c>
      <c r="E131" s="62">
        <v>0.7</v>
      </c>
      <c r="F131" s="62">
        <v>0.6</v>
      </c>
      <c r="G131" s="62">
        <v>0.6</v>
      </c>
      <c r="H131" s="62">
        <v>0.5</v>
      </c>
      <c r="I131" s="63">
        <v>0.7</v>
      </c>
    </row>
    <row r="132" spans="1:9" x14ac:dyDescent="0.35">
      <c r="A132" s="31" t="s">
        <v>243</v>
      </c>
      <c r="B132" s="62">
        <v>0.3</v>
      </c>
      <c r="C132" s="29">
        <f>ROUND(($E$2*$F$2*$G$2*Средн!$D$22*B132)/100,2)</f>
        <v>0</v>
      </c>
      <c r="D132" s="62">
        <v>0.3</v>
      </c>
      <c r="E132" s="62">
        <v>0.3</v>
      </c>
      <c r="F132" s="62">
        <v>0.3</v>
      </c>
      <c r="G132" s="62">
        <v>0.3</v>
      </c>
      <c r="H132" s="62">
        <v>0.3</v>
      </c>
      <c r="I132" s="63">
        <v>0.3</v>
      </c>
    </row>
    <row r="133" spans="1:9" x14ac:dyDescent="0.35">
      <c r="A133" s="31" t="s">
        <v>244</v>
      </c>
      <c r="B133" s="62">
        <v>0.2</v>
      </c>
      <c r="C133" s="29">
        <f>ROUND(($E$2*$F$2*$G$2*Средн!$D$22*B133)/100,2)</f>
        <v>0</v>
      </c>
      <c r="D133" s="62">
        <v>0.2</v>
      </c>
      <c r="E133" s="62">
        <v>0.2</v>
      </c>
      <c r="F133" s="62">
        <v>0.2</v>
      </c>
      <c r="G133" s="62">
        <v>0.2</v>
      </c>
      <c r="H133" s="62">
        <v>0.2</v>
      </c>
      <c r="I133" s="63">
        <v>0.2</v>
      </c>
    </row>
    <row r="134" spans="1:9" x14ac:dyDescent="0.35">
      <c r="A134" s="31" t="s">
        <v>245</v>
      </c>
      <c r="B134" s="62">
        <v>0.6</v>
      </c>
      <c r="C134" s="29">
        <f>ROUND(($E$2*$F$2*$G$2*Средн!$D$22*B134)/100,2)</f>
        <v>0</v>
      </c>
      <c r="D134" s="62">
        <v>0.6</v>
      </c>
      <c r="E134" s="62">
        <v>0.6</v>
      </c>
      <c r="F134" s="62">
        <v>0.6</v>
      </c>
      <c r="G134" s="62">
        <v>0.5</v>
      </c>
      <c r="H134" s="62">
        <v>0.5</v>
      </c>
      <c r="I134" s="63">
        <v>0.6</v>
      </c>
    </row>
    <row r="135" spans="1:9" x14ac:dyDescent="0.35">
      <c r="A135" s="31" t="s">
        <v>246</v>
      </c>
      <c r="B135" s="62">
        <v>0.2</v>
      </c>
      <c r="C135" s="29">
        <f>ROUND(($E$2*$F$2*$G$2*Средн!$D$22*B135)/100,2)</f>
        <v>0</v>
      </c>
      <c r="D135" s="62">
        <v>0.2</v>
      </c>
      <c r="E135" s="62">
        <v>0.2</v>
      </c>
      <c r="F135" s="62">
        <v>0.2</v>
      </c>
      <c r="G135" s="62">
        <v>0.2</v>
      </c>
      <c r="H135" s="62">
        <v>0.2</v>
      </c>
      <c r="I135" s="63">
        <v>0.2</v>
      </c>
    </row>
    <row r="136" spans="1:9" x14ac:dyDescent="0.35">
      <c r="A136" s="31" t="s">
        <v>247</v>
      </c>
      <c r="B136" s="62">
        <v>0.6</v>
      </c>
      <c r="C136" s="29">
        <f>ROUND(($E$2*$F$2*$G$2*Средн!$D$22*B136)/100,2)</f>
        <v>0</v>
      </c>
      <c r="D136" s="62">
        <v>0.6</v>
      </c>
      <c r="E136" s="62">
        <v>0.6</v>
      </c>
      <c r="F136" s="62">
        <v>0.5</v>
      </c>
      <c r="G136" s="62">
        <v>0.5</v>
      </c>
      <c r="H136" s="62">
        <v>0.5</v>
      </c>
      <c r="I136" s="63">
        <v>0.6</v>
      </c>
    </row>
    <row r="137" spans="1:9" x14ac:dyDescent="0.35">
      <c r="A137" s="31" t="s">
        <v>248</v>
      </c>
      <c r="B137" s="62">
        <v>2.5</v>
      </c>
      <c r="C137" s="29">
        <f>ROUND(($E$2*$F$2*$G$2*Средн!$D$22*B137)/100,2)</f>
        <v>0</v>
      </c>
      <c r="D137" s="62">
        <v>2.5</v>
      </c>
      <c r="E137" s="62">
        <v>2.2999999999999998</v>
      </c>
      <c r="F137" s="62">
        <v>2.1</v>
      </c>
      <c r="G137" s="62">
        <v>2</v>
      </c>
      <c r="H137" s="62">
        <v>1.7</v>
      </c>
      <c r="I137" s="63">
        <v>2.2999999999999998</v>
      </c>
    </row>
    <row r="138" spans="1:9" x14ac:dyDescent="0.35">
      <c r="A138" s="31" t="s">
        <v>249</v>
      </c>
      <c r="B138" s="62">
        <v>34</v>
      </c>
      <c r="C138" s="29">
        <f>ROUND(($E$2*$F$2*$G$2*Средн!$D$22*B138)/100,2)</f>
        <v>0</v>
      </c>
      <c r="D138" s="62">
        <v>34</v>
      </c>
      <c r="E138" s="62">
        <v>33</v>
      </c>
      <c r="F138" s="62">
        <v>31</v>
      </c>
      <c r="G138" s="62">
        <v>31</v>
      </c>
      <c r="H138" s="62">
        <v>29</v>
      </c>
      <c r="I138" s="63">
        <v>36</v>
      </c>
    </row>
    <row r="139" spans="1:9" x14ac:dyDescent="0.35">
      <c r="A139" s="31" t="s">
        <v>167</v>
      </c>
      <c r="B139" s="62">
        <v>21</v>
      </c>
      <c r="C139" s="29">
        <f>ROUND(($E$2*$F$2*$G$2*Средн!$D$22*B139)/100,2)</f>
        <v>0</v>
      </c>
      <c r="D139" s="62">
        <v>21</v>
      </c>
      <c r="E139" s="62">
        <v>20</v>
      </c>
      <c r="F139" s="62">
        <v>18</v>
      </c>
      <c r="G139" s="62">
        <v>18</v>
      </c>
      <c r="H139" s="62">
        <v>16</v>
      </c>
      <c r="I139" s="63">
        <v>23</v>
      </c>
    </row>
    <row r="140" spans="1:9" x14ac:dyDescent="0.35">
      <c r="A140" s="31" t="s">
        <v>168</v>
      </c>
      <c r="B140" s="62">
        <v>1</v>
      </c>
      <c r="C140" s="29">
        <f>ROUND(($E$2*$F$2*$G$2*Средн!$D$22*B140)/100,2)</f>
        <v>0</v>
      </c>
      <c r="D140" s="62">
        <v>1</v>
      </c>
      <c r="E140" s="62">
        <v>1</v>
      </c>
      <c r="F140" s="62">
        <v>1</v>
      </c>
      <c r="G140" s="62">
        <v>1</v>
      </c>
      <c r="H140" s="62">
        <v>1</v>
      </c>
      <c r="I140" s="63">
        <v>1</v>
      </c>
    </row>
    <row r="141" spans="1:9" x14ac:dyDescent="0.35">
      <c r="A141" s="31" t="s">
        <v>169</v>
      </c>
      <c r="B141" s="62">
        <v>1</v>
      </c>
      <c r="C141" s="29">
        <f>ROUND(($E$2*$F$2*$G$2*Средн!$D$22*B141)/100,2)</f>
        <v>0</v>
      </c>
      <c r="D141" s="62">
        <v>1</v>
      </c>
      <c r="E141" s="62">
        <v>1</v>
      </c>
      <c r="F141" s="62">
        <v>1</v>
      </c>
      <c r="G141" s="62">
        <v>1</v>
      </c>
      <c r="H141" s="62">
        <v>1</v>
      </c>
      <c r="I141" s="63">
        <v>1</v>
      </c>
    </row>
    <row r="142" spans="1:9" x14ac:dyDescent="0.35">
      <c r="A142" s="31" t="s">
        <v>170</v>
      </c>
      <c r="B142" s="62">
        <v>14</v>
      </c>
      <c r="C142" s="29">
        <f>ROUND(($E$2*$F$2*$G$2*Средн!$D$22*B142)/100,2)</f>
        <v>0</v>
      </c>
      <c r="D142" s="62">
        <v>14</v>
      </c>
      <c r="E142" s="62">
        <v>13</v>
      </c>
      <c r="F142" s="62">
        <v>11</v>
      </c>
      <c r="G142" s="62">
        <v>11</v>
      </c>
      <c r="H142" s="62">
        <v>9</v>
      </c>
      <c r="I142" s="63">
        <v>16</v>
      </c>
    </row>
    <row r="143" spans="1:9" x14ac:dyDescent="0.35">
      <c r="A143" s="31" t="s">
        <v>172</v>
      </c>
      <c r="B143" s="62">
        <v>1.1000000000000001</v>
      </c>
      <c r="C143" s="29">
        <f>ROUND(($E$2*$F$2*$G$2*Средн!$D$22*B143)/100,2)</f>
        <v>0</v>
      </c>
      <c r="D143" s="62">
        <v>1.1000000000000001</v>
      </c>
      <c r="E143" s="62">
        <v>1.1000000000000001</v>
      </c>
      <c r="F143" s="62">
        <v>1.1000000000000001</v>
      </c>
      <c r="G143" s="62">
        <v>1.1000000000000001</v>
      </c>
      <c r="H143" s="62">
        <v>1.1000000000000001</v>
      </c>
      <c r="I143" s="63">
        <v>1.1000000000000001</v>
      </c>
    </row>
    <row r="144" spans="1:9" x14ac:dyDescent="0.35">
      <c r="A144" s="31" t="s">
        <v>173</v>
      </c>
      <c r="B144" s="62">
        <v>0.5</v>
      </c>
      <c r="C144" s="29">
        <f>ROUND(($E$2*$F$2*$G$2*Средн!$D$22*B144)/100,2)</f>
        <v>0</v>
      </c>
      <c r="D144" s="62">
        <v>0.5</v>
      </c>
      <c r="E144" s="62">
        <v>0.5</v>
      </c>
      <c r="F144" s="62">
        <v>0.5</v>
      </c>
      <c r="G144" s="62">
        <v>0.5</v>
      </c>
      <c r="H144" s="62">
        <v>0.5</v>
      </c>
      <c r="I144" s="63">
        <v>0.5</v>
      </c>
    </row>
    <row r="145" spans="1:9" x14ac:dyDescent="0.35">
      <c r="A145" s="31" t="s">
        <v>174</v>
      </c>
      <c r="B145" s="62">
        <v>0.5</v>
      </c>
      <c r="C145" s="29">
        <f>ROUND(($E$2*$F$2*$G$2*Средн!$D$22*B145)/100,2)</f>
        <v>0</v>
      </c>
      <c r="D145" s="62">
        <v>0.5</v>
      </c>
      <c r="E145" s="62">
        <v>0.5</v>
      </c>
      <c r="F145" s="62">
        <v>0.5</v>
      </c>
      <c r="G145" s="62">
        <v>0.5</v>
      </c>
      <c r="H145" s="62">
        <v>0.5</v>
      </c>
      <c r="I145" s="63">
        <v>0.5</v>
      </c>
    </row>
    <row r="146" spans="1:9" x14ac:dyDescent="0.35">
      <c r="A146" s="31" t="s">
        <v>250</v>
      </c>
      <c r="B146" s="62">
        <v>0.9</v>
      </c>
      <c r="C146" s="29">
        <f>ROUND(($E$2*$F$2*$G$2*Средн!$D$22*B146)/100,2)</f>
        <v>0</v>
      </c>
      <c r="D146" s="62">
        <v>0.9</v>
      </c>
      <c r="E146" s="62">
        <v>0.9</v>
      </c>
      <c r="F146" s="62">
        <v>0.9</v>
      </c>
      <c r="G146" s="62">
        <v>0.9</v>
      </c>
      <c r="H146" s="62">
        <v>0.9</v>
      </c>
      <c r="I146" s="63">
        <v>0.9</v>
      </c>
    </row>
    <row r="147" spans="1:9" x14ac:dyDescent="0.35">
      <c r="A147" s="31" t="s">
        <v>175</v>
      </c>
      <c r="B147" s="62">
        <v>1.4</v>
      </c>
      <c r="C147" s="29">
        <f>ROUND(($E$2*$F$2*$G$2*Средн!$D$22*B147)/100,2)</f>
        <v>0</v>
      </c>
      <c r="D147" s="62">
        <v>1.4</v>
      </c>
      <c r="E147" s="62">
        <v>1.4</v>
      </c>
      <c r="F147" s="62">
        <v>1.4</v>
      </c>
      <c r="G147" s="62">
        <v>1.4</v>
      </c>
      <c r="H147" s="62">
        <v>1.4</v>
      </c>
      <c r="I147" s="63">
        <v>1.4</v>
      </c>
    </row>
    <row r="148" spans="1:9" x14ac:dyDescent="0.35">
      <c r="A148" s="31" t="s">
        <v>251</v>
      </c>
      <c r="B148" s="62">
        <v>0.8</v>
      </c>
      <c r="C148" s="29">
        <f>ROUND(($E$2*$F$2*$G$2*Средн!$D$22*B148)/100,2)</f>
        <v>0</v>
      </c>
      <c r="D148" s="62">
        <v>0.8</v>
      </c>
      <c r="E148" s="62">
        <v>0.8</v>
      </c>
      <c r="F148" s="62">
        <v>0.8</v>
      </c>
      <c r="G148" s="62">
        <v>0.8</v>
      </c>
      <c r="H148" s="62">
        <v>0.8</v>
      </c>
      <c r="I148" s="63">
        <v>0.8</v>
      </c>
    </row>
    <row r="149" spans="1:9" x14ac:dyDescent="0.35">
      <c r="A149" s="31" t="s">
        <v>210</v>
      </c>
      <c r="B149" s="62">
        <v>0.9</v>
      </c>
      <c r="C149" s="29">
        <f>ROUND(($E$2*$F$2*$G$2*Средн!$D$22*B149)/100,2)</f>
        <v>0</v>
      </c>
      <c r="D149" s="62">
        <v>0.9</v>
      </c>
      <c r="E149" s="62">
        <v>0.9</v>
      </c>
      <c r="F149" s="62">
        <v>0.9</v>
      </c>
      <c r="G149" s="62">
        <v>0.9</v>
      </c>
      <c r="H149" s="62">
        <v>0.9</v>
      </c>
      <c r="I149" s="63">
        <v>0.9</v>
      </c>
    </row>
    <row r="150" spans="1:9" x14ac:dyDescent="0.35">
      <c r="A150" s="31" t="s">
        <v>252</v>
      </c>
      <c r="B150" s="62">
        <v>0.8</v>
      </c>
      <c r="C150" s="29">
        <f>ROUND(($E$2*$F$2*$G$2*Средн!$D$22*B150)/100,2)</f>
        <v>0</v>
      </c>
      <c r="D150" s="62">
        <v>0.8</v>
      </c>
      <c r="E150" s="62">
        <v>0.8</v>
      </c>
      <c r="F150" s="62">
        <v>0.8</v>
      </c>
      <c r="G150" s="62">
        <v>0.8</v>
      </c>
      <c r="H150" s="62">
        <v>0.8</v>
      </c>
      <c r="I150" s="63">
        <v>0.8</v>
      </c>
    </row>
    <row r="151" spans="1:9" x14ac:dyDescent="0.35">
      <c r="A151" s="31" t="s">
        <v>176</v>
      </c>
      <c r="B151" s="62">
        <v>1</v>
      </c>
      <c r="C151" s="29">
        <f>ROUND(($E$2*$F$2*$G$2*Средн!$D$22*B151)/100,2)</f>
        <v>0</v>
      </c>
      <c r="D151" s="62">
        <v>1</v>
      </c>
      <c r="E151" s="62">
        <v>1</v>
      </c>
      <c r="F151" s="62">
        <v>1</v>
      </c>
      <c r="G151" s="62">
        <v>1</v>
      </c>
      <c r="H151" s="62">
        <v>1</v>
      </c>
      <c r="I151" s="63">
        <v>1</v>
      </c>
    </row>
    <row r="152" spans="1:9" x14ac:dyDescent="0.35">
      <c r="A152" s="31" t="s">
        <v>177</v>
      </c>
      <c r="B152" s="62">
        <v>1.2</v>
      </c>
      <c r="C152" s="29">
        <f>ROUND(($E$2*$F$2*$G$2*Средн!$D$22*B152)/100,2)</f>
        <v>0</v>
      </c>
      <c r="D152" s="62">
        <v>1.2</v>
      </c>
      <c r="E152" s="62">
        <v>1.2</v>
      </c>
      <c r="F152" s="62">
        <v>1.2</v>
      </c>
      <c r="G152" s="62">
        <v>1.2</v>
      </c>
      <c r="H152" s="62">
        <v>1.2</v>
      </c>
      <c r="I152" s="63">
        <v>1.2</v>
      </c>
    </row>
    <row r="153" spans="1:9" x14ac:dyDescent="0.35">
      <c r="A153" s="31" t="s">
        <v>253</v>
      </c>
      <c r="B153" s="62">
        <v>1</v>
      </c>
      <c r="C153" s="29">
        <f>ROUND(($E$2*$F$2*$G$2*Средн!$D$22*B153)/100,2)</f>
        <v>0</v>
      </c>
      <c r="D153" s="62">
        <v>1</v>
      </c>
      <c r="E153" s="62">
        <v>1</v>
      </c>
      <c r="F153" s="62">
        <v>1</v>
      </c>
      <c r="G153" s="62">
        <v>1</v>
      </c>
      <c r="H153" s="62">
        <v>1</v>
      </c>
      <c r="I153" s="63">
        <v>1</v>
      </c>
    </row>
    <row r="154" spans="1:9" x14ac:dyDescent="0.35">
      <c r="A154" s="31" t="s">
        <v>179</v>
      </c>
      <c r="B154" s="62">
        <v>2.1</v>
      </c>
      <c r="C154" s="29">
        <f>ROUND(($E$2*$F$2*$G$2*Средн!$D$22*B154)/100,2)</f>
        <v>0</v>
      </c>
      <c r="D154" s="62">
        <v>2.1</v>
      </c>
      <c r="E154" s="62">
        <v>2.1</v>
      </c>
      <c r="F154" s="62">
        <v>2.1</v>
      </c>
      <c r="G154" s="62">
        <v>2.1</v>
      </c>
      <c r="H154" s="62">
        <v>2.1</v>
      </c>
      <c r="I154" s="63">
        <v>2.1</v>
      </c>
    </row>
    <row r="155" spans="1:9" x14ac:dyDescent="0.35">
      <c r="A155" s="31" t="s">
        <v>180</v>
      </c>
      <c r="B155" s="62">
        <v>1.6</v>
      </c>
      <c r="C155" s="29">
        <f>ROUND(($E$2*$F$2*$G$2*Средн!$D$22*B155)/100,2)</f>
        <v>0</v>
      </c>
      <c r="D155" s="62">
        <v>1.6</v>
      </c>
      <c r="E155" s="62">
        <v>1.6</v>
      </c>
      <c r="F155" s="62">
        <v>1.6</v>
      </c>
      <c r="G155" s="62">
        <v>1.6</v>
      </c>
      <c r="H155" s="62">
        <v>1.6</v>
      </c>
      <c r="I155" s="63">
        <v>1.6</v>
      </c>
    </row>
    <row r="156" spans="1:9" x14ac:dyDescent="0.35">
      <c r="A156" s="31" t="s">
        <v>254</v>
      </c>
      <c r="B156" s="62">
        <v>3</v>
      </c>
      <c r="C156" s="29">
        <f>ROUND(($E$2*$F$2*$G$2*Средн!$D$22*B156)/100,2)</f>
        <v>0</v>
      </c>
      <c r="D156" s="62">
        <v>3</v>
      </c>
      <c r="E156" s="62">
        <v>3</v>
      </c>
      <c r="F156" s="62">
        <v>3</v>
      </c>
      <c r="G156" s="62">
        <v>3</v>
      </c>
      <c r="H156" s="62">
        <v>2</v>
      </c>
      <c r="I156" s="63">
        <v>3</v>
      </c>
    </row>
    <row r="157" spans="1:9" x14ac:dyDescent="0.35">
      <c r="A157" s="31" t="s">
        <v>255</v>
      </c>
      <c r="B157" s="62">
        <v>10</v>
      </c>
      <c r="C157" s="29">
        <f>ROUND(($E$2*$F$2*$G$2*Средн!$D$22*B157)/100,2)</f>
        <v>0</v>
      </c>
      <c r="D157" s="62">
        <v>10</v>
      </c>
      <c r="E157" s="62">
        <v>9</v>
      </c>
      <c r="F157" s="62">
        <v>8</v>
      </c>
      <c r="G157" s="62">
        <v>8</v>
      </c>
      <c r="H157" s="62">
        <v>7</v>
      </c>
      <c r="I157" s="63">
        <v>9</v>
      </c>
    </row>
    <row r="158" spans="1:9" x14ac:dyDescent="0.35">
      <c r="A158" s="31" t="s">
        <v>256</v>
      </c>
      <c r="B158" s="62">
        <v>15</v>
      </c>
      <c r="C158" s="29">
        <f>ROUND(($E$2*$F$2*$G$2*Средн!$D$22*B158)/100,2)</f>
        <v>0</v>
      </c>
      <c r="D158" s="62">
        <v>15</v>
      </c>
      <c r="E158" s="62">
        <v>14</v>
      </c>
      <c r="F158" s="62">
        <v>13</v>
      </c>
      <c r="G158" s="62">
        <v>12</v>
      </c>
      <c r="H158" s="62">
        <v>11</v>
      </c>
      <c r="I158" s="63">
        <v>14</v>
      </c>
    </row>
    <row r="159" spans="1:9" x14ac:dyDescent="0.35">
      <c r="A159" s="31" t="s">
        <v>190</v>
      </c>
      <c r="B159" s="62">
        <v>3</v>
      </c>
      <c r="C159" s="29">
        <f>ROUND(($E$2*$F$2*$G$2*Средн!$D$22*B159)/100,2)</f>
        <v>0</v>
      </c>
      <c r="D159" s="62">
        <v>3</v>
      </c>
      <c r="E159" s="62">
        <v>3</v>
      </c>
      <c r="F159" s="62">
        <v>3</v>
      </c>
      <c r="G159" s="62">
        <v>3</v>
      </c>
      <c r="H159" s="62">
        <v>3</v>
      </c>
      <c r="I159" s="63">
        <v>3</v>
      </c>
    </row>
    <row r="160" spans="1:9" x14ac:dyDescent="0.35">
      <c r="A160" s="31" t="s">
        <v>191</v>
      </c>
      <c r="B160" s="62">
        <v>0.5</v>
      </c>
      <c r="C160" s="29">
        <f>ROUND(($E$2*$F$2*$G$2*Средн!$D$22*B160)/100,2)</f>
        <v>0</v>
      </c>
      <c r="D160" s="62">
        <v>0.5</v>
      </c>
      <c r="E160" s="62">
        <v>0.5</v>
      </c>
      <c r="F160" s="62">
        <v>0.5</v>
      </c>
      <c r="G160" s="62">
        <v>0.5</v>
      </c>
      <c r="H160" s="62">
        <v>0.5</v>
      </c>
      <c r="I160" s="63">
        <v>0.5</v>
      </c>
    </row>
    <row r="161" spans="1:9" x14ac:dyDescent="0.35">
      <c r="A161" s="31" t="s">
        <v>192</v>
      </c>
      <c r="B161" s="62">
        <v>1</v>
      </c>
      <c r="C161" s="29">
        <f>ROUND(($E$2*$F$2*$G$2*Средн!$D$22*B161)/100,2)</f>
        <v>0</v>
      </c>
      <c r="D161" s="62">
        <v>1</v>
      </c>
      <c r="E161" s="62">
        <v>1</v>
      </c>
      <c r="F161" s="62">
        <v>1</v>
      </c>
      <c r="G161" s="62">
        <v>1</v>
      </c>
      <c r="H161" s="62">
        <v>1</v>
      </c>
      <c r="I161" s="63">
        <v>1</v>
      </c>
    </row>
    <row r="162" spans="1:9" x14ac:dyDescent="0.35">
      <c r="A162" s="31" t="s">
        <v>78</v>
      </c>
      <c r="B162" s="62">
        <v>1.2</v>
      </c>
      <c r="C162" s="29">
        <f>ROUND(($E$2*$F$2*$G$2*Средн!$D$22*B162)/100,2)</f>
        <v>0</v>
      </c>
      <c r="D162" s="62">
        <v>1.2</v>
      </c>
      <c r="E162" s="62">
        <v>1.2</v>
      </c>
      <c r="F162" s="62">
        <v>1.2</v>
      </c>
      <c r="G162" s="62">
        <v>1.2</v>
      </c>
      <c r="H162" s="62">
        <v>1.2</v>
      </c>
      <c r="I162" s="63">
        <v>1.2</v>
      </c>
    </row>
    <row r="163" spans="1:9" x14ac:dyDescent="0.35">
      <c r="A163" s="31" t="s">
        <v>193</v>
      </c>
      <c r="B163" s="62">
        <v>0.3</v>
      </c>
      <c r="C163" s="29">
        <f>ROUND(($E$2*$F$2*$G$2*Средн!$D$22*B163)/100,2)</f>
        <v>0</v>
      </c>
      <c r="D163" s="62">
        <v>0.3</v>
      </c>
      <c r="E163" s="62">
        <v>0.3</v>
      </c>
      <c r="F163" s="62">
        <v>0.3</v>
      </c>
      <c r="G163" s="62">
        <v>0.3</v>
      </c>
      <c r="H163" s="62">
        <v>0.3</v>
      </c>
      <c r="I163" s="63">
        <v>0.3</v>
      </c>
    </row>
    <row r="164" spans="1:9" x14ac:dyDescent="0.35">
      <c r="A164" s="31" t="s">
        <v>257</v>
      </c>
      <c r="B164" s="62">
        <v>0.1</v>
      </c>
      <c r="C164" s="29">
        <f>ROUND(($E$2*$F$2*$G$2*Средн!$D$22*B164)/100,2)</f>
        <v>0</v>
      </c>
      <c r="D164" s="62">
        <v>0.1</v>
      </c>
      <c r="E164" s="62">
        <v>0.1</v>
      </c>
      <c r="F164" s="62">
        <v>0.1</v>
      </c>
      <c r="G164" s="62">
        <v>0.1</v>
      </c>
      <c r="H164" s="62">
        <v>0.1</v>
      </c>
      <c r="I164" s="63">
        <v>0.1</v>
      </c>
    </row>
    <row r="165" spans="1:9" x14ac:dyDescent="0.35">
      <c r="A165" s="31" t="s">
        <v>195</v>
      </c>
      <c r="B165" s="62">
        <v>3</v>
      </c>
      <c r="C165" s="29">
        <f>ROUND(($E$2*$F$2*$G$2*Средн!$D$22*B165)/100,2)</f>
        <v>0</v>
      </c>
      <c r="D165" s="62">
        <v>3</v>
      </c>
      <c r="E165" s="62">
        <v>3</v>
      </c>
      <c r="F165" s="62">
        <v>3</v>
      </c>
      <c r="G165" s="62">
        <v>3</v>
      </c>
      <c r="H165" s="62">
        <v>2</v>
      </c>
      <c r="I165" s="63">
        <v>3</v>
      </c>
    </row>
    <row r="166" spans="1:9" x14ac:dyDescent="0.35">
      <c r="A166" s="31" t="s">
        <v>258</v>
      </c>
      <c r="B166" s="62">
        <v>5</v>
      </c>
      <c r="C166" s="29">
        <f>ROUND(($E$2*$F$2*$G$2*Средн!$D$22*B166)/100,2)</f>
        <v>0</v>
      </c>
      <c r="D166" s="62">
        <v>5</v>
      </c>
      <c r="E166" s="62">
        <v>9</v>
      </c>
      <c r="F166" s="62">
        <v>14</v>
      </c>
      <c r="G166" s="62">
        <v>16</v>
      </c>
      <c r="H166" s="62">
        <v>24</v>
      </c>
      <c r="I166" s="63">
        <v>3</v>
      </c>
    </row>
    <row r="167" spans="1:9" x14ac:dyDescent="0.35">
      <c r="A167" s="31" t="s">
        <v>79</v>
      </c>
      <c r="B167" s="62">
        <v>3</v>
      </c>
      <c r="C167" s="29">
        <f>ROUND(($E$2*$F$2*$G$2*Средн!$D$22*B167)/100,2)</f>
        <v>0</v>
      </c>
      <c r="D167" s="63" t="s">
        <v>259</v>
      </c>
      <c r="E167" s="63" t="s">
        <v>259</v>
      </c>
      <c r="F167" s="63" t="s">
        <v>259</v>
      </c>
      <c r="G167" s="63" t="s">
        <v>259</v>
      </c>
      <c r="H167" s="63" t="s">
        <v>259</v>
      </c>
      <c r="I167" s="63" t="s">
        <v>259</v>
      </c>
    </row>
    <row r="168" spans="1:9" x14ac:dyDescent="0.35">
      <c r="A168" s="28" t="s">
        <v>260</v>
      </c>
      <c r="B168" s="47">
        <f t="shared" ref="B168:C168" si="0">SUM(B116:B167)</f>
        <v>172.70000000000002</v>
      </c>
      <c r="C168" s="4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2"/>
  <sheetViews>
    <sheetView workbookViewId="0">
      <selection activeCell="C21" sqref="C21:F21"/>
    </sheetView>
  </sheetViews>
  <sheetFormatPr defaultColWidth="8.7265625" defaultRowHeight="14.5" x14ac:dyDescent="0.35"/>
  <cols>
    <col min="1" max="6" width="20.7265625" style="30" customWidth="1"/>
    <col min="7" max="7" width="10.26953125" style="30" bestFit="1" customWidth="1"/>
    <col min="8" max="16384" width="8.7265625" style="30"/>
  </cols>
  <sheetData>
    <row r="1" spans="1:6" ht="15" x14ac:dyDescent="0.35">
      <c r="A1" s="78" t="s">
        <v>59</v>
      </c>
      <c r="B1" s="77" t="s">
        <v>60</v>
      </c>
      <c r="C1" s="77" t="s">
        <v>61</v>
      </c>
      <c r="D1" s="77" t="s">
        <v>62</v>
      </c>
      <c r="E1" s="77" t="s">
        <v>63</v>
      </c>
      <c r="F1" s="77" t="s">
        <v>64</v>
      </c>
    </row>
    <row r="2" spans="1:6" ht="15.5" x14ac:dyDescent="0.35">
      <c r="A2" s="68" t="s">
        <v>65</v>
      </c>
      <c r="B2" s="69">
        <v>43831</v>
      </c>
      <c r="C2" s="69">
        <v>43831</v>
      </c>
      <c r="D2" s="69">
        <v>43831</v>
      </c>
      <c r="E2" s="69">
        <v>43831</v>
      </c>
      <c r="F2" s="69">
        <v>43831</v>
      </c>
    </row>
    <row r="3" spans="1:6" ht="15.5" x14ac:dyDescent="0.35">
      <c r="A3" s="68" t="s">
        <v>280</v>
      </c>
      <c r="B3" s="70" t="s">
        <v>67</v>
      </c>
      <c r="C3" s="71" t="s">
        <v>114</v>
      </c>
      <c r="D3" s="71" t="s">
        <v>114</v>
      </c>
      <c r="E3" s="71" t="s">
        <v>114</v>
      </c>
      <c r="F3" s="71" t="s">
        <v>114</v>
      </c>
    </row>
    <row r="4" spans="1:6" ht="15.5" x14ac:dyDescent="0.35">
      <c r="A4" s="68" t="s">
        <v>283</v>
      </c>
      <c r="B4" s="70" t="str">
        <f>Дано!B17</f>
        <v>Subaru Outback</v>
      </c>
      <c r="C4" s="70" t="str">
        <f>$B$4</f>
        <v>Subaru Outback</v>
      </c>
      <c r="D4" s="70" t="str">
        <f t="shared" ref="D4:F4" si="0">$B$4</f>
        <v>Subaru Outback</v>
      </c>
      <c r="E4" s="70" t="str">
        <f t="shared" si="0"/>
        <v>Subaru Outback</v>
      </c>
      <c r="F4" s="70" t="str">
        <f t="shared" si="0"/>
        <v>Subaru Outback</v>
      </c>
    </row>
    <row r="5" spans="1:6" ht="15.5" x14ac:dyDescent="0.35">
      <c r="A5" s="68" t="s">
        <v>68</v>
      </c>
      <c r="B5" s="70">
        <f>Дано!B22</f>
        <v>2088</v>
      </c>
      <c r="C5" s="70">
        <f>$B$5</f>
        <v>2088</v>
      </c>
      <c r="D5" s="70">
        <f t="shared" ref="D5:F5" si="1">$B$5</f>
        <v>2088</v>
      </c>
      <c r="E5" s="70">
        <f t="shared" si="1"/>
        <v>2088</v>
      </c>
      <c r="F5" s="70">
        <f t="shared" si="1"/>
        <v>2088</v>
      </c>
    </row>
    <row r="6" spans="1:6" ht="77.5" x14ac:dyDescent="0.35">
      <c r="A6" s="68" t="s">
        <v>66</v>
      </c>
      <c r="B6" s="70" t="s">
        <v>315</v>
      </c>
      <c r="C6" s="70" t="s">
        <v>315</v>
      </c>
      <c r="D6" s="70" t="s">
        <v>315</v>
      </c>
      <c r="E6" s="70" t="s">
        <v>315</v>
      </c>
      <c r="F6" s="70" t="s">
        <v>315</v>
      </c>
    </row>
    <row r="7" spans="1:6" ht="15" x14ac:dyDescent="0.35">
      <c r="A7" s="222" t="s">
        <v>282</v>
      </c>
      <c r="B7" s="222"/>
      <c r="C7" s="76">
        <v>0</v>
      </c>
      <c r="D7" s="76">
        <v>0</v>
      </c>
      <c r="E7" s="76">
        <v>0</v>
      </c>
      <c r="F7" s="76">
        <v>0</v>
      </c>
    </row>
    <row r="8" spans="1:6" s="72" customFormat="1" ht="15" x14ac:dyDescent="0.35">
      <c r="A8" s="223" t="s">
        <v>70</v>
      </c>
      <c r="B8" s="224"/>
      <c r="C8" s="77" t="s">
        <v>61</v>
      </c>
      <c r="D8" s="77" t="s">
        <v>62</v>
      </c>
      <c r="E8" s="77" t="s">
        <v>63</v>
      </c>
      <c r="F8" s="77" t="s">
        <v>64</v>
      </c>
    </row>
    <row r="9" spans="1:6" s="75" customFormat="1" ht="15" x14ac:dyDescent="0.35">
      <c r="A9" s="222" t="s">
        <v>285</v>
      </c>
      <c r="B9" s="222"/>
      <c r="C9" s="74">
        <v>1</v>
      </c>
      <c r="D9" s="74">
        <v>1</v>
      </c>
      <c r="E9" s="74">
        <v>1</v>
      </c>
      <c r="F9" s="74">
        <v>1</v>
      </c>
    </row>
    <row r="10" spans="1:6" s="72" customFormat="1" ht="15.5" x14ac:dyDescent="0.35">
      <c r="A10" s="225" t="s">
        <v>71</v>
      </c>
      <c r="B10" s="225"/>
      <c r="C10" s="73">
        <f>C7*C9</f>
        <v>0</v>
      </c>
      <c r="D10" s="73">
        <f>D7*D9</f>
        <v>0</v>
      </c>
      <c r="E10" s="73">
        <f>E7*E9</f>
        <v>0</v>
      </c>
      <c r="F10" s="73">
        <f>F7*F9</f>
        <v>0</v>
      </c>
    </row>
    <row r="11" spans="1:6" s="75" customFormat="1" ht="15" x14ac:dyDescent="0.35">
      <c r="A11" s="222" t="s">
        <v>72</v>
      </c>
      <c r="B11" s="222"/>
      <c r="C11" s="74">
        <v>1</v>
      </c>
      <c r="D11" s="74">
        <v>1</v>
      </c>
      <c r="E11" s="74">
        <v>1</v>
      </c>
      <c r="F11" s="74">
        <v>1</v>
      </c>
    </row>
    <row r="12" spans="1:6" s="72" customFormat="1" ht="15.5" x14ac:dyDescent="0.35">
      <c r="A12" s="225" t="s">
        <v>71</v>
      </c>
      <c r="B12" s="225"/>
      <c r="C12" s="73">
        <f>C10*C11</f>
        <v>0</v>
      </c>
      <c r="D12" s="73">
        <f t="shared" ref="D12:F12" si="2">D10*D11</f>
        <v>0</v>
      </c>
      <c r="E12" s="73">
        <f t="shared" si="2"/>
        <v>0</v>
      </c>
      <c r="F12" s="73">
        <f t="shared" si="2"/>
        <v>0</v>
      </c>
    </row>
    <row r="13" spans="1:6" s="75" customFormat="1" ht="15" x14ac:dyDescent="0.35">
      <c r="A13" s="222" t="s">
        <v>281</v>
      </c>
      <c r="B13" s="222"/>
      <c r="C13" s="74">
        <v>1</v>
      </c>
      <c r="D13" s="74">
        <v>1</v>
      </c>
      <c r="E13" s="74">
        <v>1</v>
      </c>
      <c r="F13" s="74">
        <v>1</v>
      </c>
    </row>
    <row r="14" spans="1:6" s="72" customFormat="1" ht="15.5" x14ac:dyDescent="0.35">
      <c r="A14" s="225" t="s">
        <v>71</v>
      </c>
      <c r="B14" s="225"/>
      <c r="C14" s="73">
        <f>C12*C13</f>
        <v>0</v>
      </c>
      <c r="D14" s="73">
        <f t="shared" ref="D14:F14" si="3">D12*D13</f>
        <v>0</v>
      </c>
      <c r="E14" s="73">
        <f t="shared" si="3"/>
        <v>0</v>
      </c>
      <c r="F14" s="73">
        <f t="shared" si="3"/>
        <v>0</v>
      </c>
    </row>
    <row r="15" spans="1:6" s="75" customFormat="1" ht="15" x14ac:dyDescent="0.35">
      <c r="A15" s="222" t="s">
        <v>284</v>
      </c>
      <c r="B15" s="222"/>
      <c r="C15" s="74">
        <v>1</v>
      </c>
      <c r="D15" s="74">
        <v>1</v>
      </c>
      <c r="E15" s="74">
        <v>1</v>
      </c>
      <c r="F15" s="74">
        <v>1</v>
      </c>
    </row>
    <row r="16" spans="1:6" s="72" customFormat="1" ht="15.5" x14ac:dyDescent="0.35">
      <c r="A16" s="225" t="s">
        <v>71</v>
      </c>
      <c r="B16" s="225"/>
      <c r="C16" s="73">
        <f>C14*C15</f>
        <v>0</v>
      </c>
      <c r="D16" s="73">
        <f t="shared" ref="D16:F16" si="4">D14*D15</f>
        <v>0</v>
      </c>
      <c r="E16" s="73">
        <f t="shared" si="4"/>
        <v>0</v>
      </c>
      <c r="F16" s="73">
        <f t="shared" si="4"/>
        <v>0</v>
      </c>
    </row>
    <row r="17" spans="1:6" s="75" customFormat="1" ht="15" x14ac:dyDescent="0.35">
      <c r="A17" s="222" t="s">
        <v>316</v>
      </c>
      <c r="B17" s="222"/>
      <c r="C17" s="74">
        <v>1</v>
      </c>
      <c r="D17" s="74">
        <v>1</v>
      </c>
      <c r="E17" s="74">
        <v>1</v>
      </c>
      <c r="F17" s="74">
        <v>1</v>
      </c>
    </row>
    <row r="18" spans="1:6" s="72" customFormat="1" ht="15.5" x14ac:dyDescent="0.35">
      <c r="A18" s="225" t="s">
        <v>71</v>
      </c>
      <c r="B18" s="225"/>
      <c r="C18" s="73">
        <f>C16*C17</f>
        <v>0</v>
      </c>
      <c r="D18" s="73">
        <f t="shared" ref="D18:F18" si="5">D16*D17</f>
        <v>0</v>
      </c>
      <c r="E18" s="73">
        <f t="shared" si="5"/>
        <v>0</v>
      </c>
      <c r="F18" s="73">
        <f t="shared" si="5"/>
        <v>0</v>
      </c>
    </row>
    <row r="19" spans="1:6" s="75" customFormat="1" ht="15.75" customHeight="1" x14ac:dyDescent="0.35">
      <c r="A19" s="222" t="s">
        <v>73</v>
      </c>
      <c r="B19" s="222"/>
      <c r="C19" s="74">
        <v>1</v>
      </c>
      <c r="D19" s="74">
        <v>1</v>
      </c>
      <c r="E19" s="74">
        <v>1</v>
      </c>
      <c r="F19" s="74">
        <v>1</v>
      </c>
    </row>
    <row r="20" spans="1:6" s="72" customFormat="1" ht="15.5" x14ac:dyDescent="0.35">
      <c r="A20" s="225" t="s">
        <v>71</v>
      </c>
      <c r="B20" s="225"/>
      <c r="C20" s="73">
        <f>C18*C19</f>
        <v>0</v>
      </c>
      <c r="D20" s="73">
        <f t="shared" ref="D20:F20" si="6">D18*D19</f>
        <v>0</v>
      </c>
      <c r="E20" s="73">
        <f t="shared" si="6"/>
        <v>0</v>
      </c>
      <c r="F20" s="73">
        <f t="shared" si="6"/>
        <v>0</v>
      </c>
    </row>
    <row r="21" spans="1:6" ht="15" x14ac:dyDescent="0.35">
      <c r="A21" s="227" t="s">
        <v>74</v>
      </c>
      <c r="B21" s="227"/>
      <c r="C21" s="226">
        <f>ROUND(AVERAGE(C20:F20),-2)</f>
        <v>0</v>
      </c>
      <c r="D21" s="226"/>
      <c r="E21" s="226"/>
      <c r="F21" s="226"/>
    </row>
    <row r="22" spans="1:6" ht="15.5" x14ac:dyDescent="0.35">
      <c r="A22" s="32"/>
      <c r="B22" s="32"/>
      <c r="C22" s="32"/>
      <c r="D22" s="32"/>
      <c r="E22" s="32"/>
      <c r="F22" s="32"/>
    </row>
  </sheetData>
  <mergeCells count="16">
    <mergeCell ref="C21:F21"/>
    <mergeCell ref="A17:B17"/>
    <mergeCell ref="A18:B18"/>
    <mergeCell ref="A19:B19"/>
    <mergeCell ref="A20:B20"/>
    <mergeCell ref="A21:B21"/>
    <mergeCell ref="A12:B12"/>
    <mergeCell ref="A13:B13"/>
    <mergeCell ref="A14:B14"/>
    <mergeCell ref="A15:B15"/>
    <mergeCell ref="A16:B16"/>
    <mergeCell ref="A11:B11"/>
    <mergeCell ref="A7:B7"/>
    <mergeCell ref="A8:B8"/>
    <mergeCell ref="A9:B9"/>
    <mergeCell ref="A10:B1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Дано</vt:lpstr>
      <vt:lpstr>счёт</vt:lpstr>
      <vt:lpstr>факт</vt:lpstr>
      <vt:lpstr>прих</vt:lpstr>
      <vt:lpstr>акт</vt:lpstr>
      <vt:lpstr>Ущерб</vt:lpstr>
      <vt:lpstr>Средн</vt:lpstr>
      <vt:lpstr>УТС</vt:lpstr>
      <vt:lpstr>Утиль</vt:lpstr>
      <vt:lpstr>Рынок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2020-06-29T15:52:02Z</dcterms:modified>
</cp:coreProperties>
</file>