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726CC3A3-77FA-4EF0-88FE-165181F1375C}" xr6:coauthVersionLast="45" xr6:coauthVersionMax="45" xr10:uidLastSave="{00000000-0000-0000-0000-000000000000}"/>
  <bookViews>
    <workbookView xWindow="-110" yWindow="-110" windowWidth="19420" windowHeight="12420" xr2:uid="{00000000-000D-0000-FFFF-FFFF00000000}"/>
  </bookViews>
  <sheets>
    <sheet name="Дано" sheetId="5" r:id="rId1"/>
    <sheet name="счёт" sheetId="1" r:id="rId2"/>
    <sheet name="факт" sheetId="2" r:id="rId3"/>
    <sheet name="прих" sheetId="3" r:id="rId4"/>
    <sheet name="акт" sheetId="6" r:id="rId5"/>
    <sheet name="Ущерб" sheetId="7" r:id="rId6"/>
    <sheet name="Средн" sheetId="13" r:id="rId7"/>
    <sheet name="УТС" sheetId="10" r:id="rId8"/>
    <sheet name="Утиль" sheetId="11" r:id="rId9"/>
    <sheet name="Рынок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2" i="13" l="1"/>
  <c r="B76" i="11"/>
  <c r="H4" i="10" l="1"/>
  <c r="J2" i="7" l="1"/>
  <c r="H15" i="2" l="1"/>
  <c r="D4" i="1"/>
  <c r="D4" i="2" s="1"/>
  <c r="H4" i="1"/>
  <c r="H4" i="2" s="1"/>
  <c r="A2" i="6" l="1"/>
  <c r="L23" i="3"/>
  <c r="B11" i="3" s="1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" i="13"/>
  <c r="C23" i="1"/>
  <c r="C23" i="2" s="1"/>
  <c r="C20" i="3" s="1"/>
  <c r="A9" i="6"/>
  <c r="B6" i="6"/>
  <c r="D9" i="6"/>
  <c r="D10" i="6" s="1"/>
  <c r="A12" i="6" s="1"/>
  <c r="C9" i="6"/>
  <c r="B9" i="6"/>
  <c r="B3" i="5" l="1"/>
  <c r="C9" i="1" s="1"/>
  <c r="C9" i="2" s="1"/>
  <c r="C17" i="3" s="1"/>
  <c r="D10" i="12" l="1"/>
  <c r="D12" i="12" s="1"/>
  <c r="D14" i="12" s="1"/>
  <c r="D16" i="12" s="1"/>
  <c r="D18" i="12" s="1"/>
  <c r="D20" i="12" s="1"/>
  <c r="E10" i="12"/>
  <c r="E12" i="12" s="1"/>
  <c r="E14" i="12" s="1"/>
  <c r="E16" i="12" s="1"/>
  <c r="E18" i="12" s="1"/>
  <c r="E20" i="12" s="1"/>
  <c r="F10" i="12"/>
  <c r="F12" i="12" s="1"/>
  <c r="F14" i="12" s="1"/>
  <c r="F16" i="12" s="1"/>
  <c r="F18" i="12" s="1"/>
  <c r="F20" i="12" s="1"/>
  <c r="C10" i="12"/>
  <c r="C12" i="12" s="1"/>
  <c r="C14" i="12" s="1"/>
  <c r="C16" i="12" s="1"/>
  <c r="C18" i="12" s="1"/>
  <c r="C20" i="12" s="1"/>
  <c r="B5" i="12"/>
  <c r="D5" i="12" s="1"/>
  <c r="B4" i="12"/>
  <c r="E4" i="12" s="1"/>
  <c r="C5" i="12" l="1"/>
  <c r="E5" i="12"/>
  <c r="F4" i="12"/>
  <c r="D4" i="12"/>
  <c r="C4" i="12"/>
  <c r="F5" i="12"/>
  <c r="C21" i="12"/>
  <c r="G52" i="2" l="1"/>
  <c r="G52" i="1"/>
  <c r="C22" i="13" l="1"/>
  <c r="B221" i="11" l="1"/>
  <c r="B161" i="11"/>
  <c r="B29" i="5" l="1"/>
  <c r="A1" i="2" l="1"/>
  <c r="C76" i="11" l="1"/>
  <c r="C170" i="11"/>
  <c r="C172" i="11"/>
  <c r="C174" i="11"/>
  <c r="C176" i="11"/>
  <c r="C178" i="11"/>
  <c r="C180" i="11"/>
  <c r="C182" i="11"/>
  <c r="C184" i="11"/>
  <c r="C186" i="11"/>
  <c r="C188" i="11"/>
  <c r="C190" i="11"/>
  <c r="C192" i="11"/>
  <c r="C194" i="11"/>
  <c r="C196" i="11"/>
  <c r="C198" i="11"/>
  <c r="C200" i="11"/>
  <c r="C202" i="11"/>
  <c r="C204" i="11"/>
  <c r="C206" i="11"/>
  <c r="C208" i="11"/>
  <c r="C210" i="11"/>
  <c r="C212" i="11"/>
  <c r="C214" i="11"/>
  <c r="C216" i="11"/>
  <c r="C218" i="11"/>
  <c r="C220" i="11"/>
  <c r="C82" i="11"/>
  <c r="C84" i="11"/>
  <c r="C86" i="11"/>
  <c r="C88" i="11"/>
  <c r="C90" i="11"/>
  <c r="C92" i="11"/>
  <c r="C94" i="11"/>
  <c r="C96" i="11"/>
  <c r="C98" i="11"/>
  <c r="C100" i="11"/>
  <c r="C102" i="11"/>
  <c r="C104" i="11"/>
  <c r="C106" i="11"/>
  <c r="C108" i="11"/>
  <c r="C110" i="11"/>
  <c r="C112" i="11"/>
  <c r="C114" i="11"/>
  <c r="C116" i="11"/>
  <c r="C118" i="11"/>
  <c r="C120" i="11"/>
  <c r="C122" i="11"/>
  <c r="C124" i="11"/>
  <c r="C126" i="11"/>
  <c r="C128" i="11"/>
  <c r="C130" i="11"/>
  <c r="C132" i="11"/>
  <c r="C134" i="11"/>
  <c r="C136" i="11"/>
  <c r="C138" i="11"/>
  <c r="C140" i="11"/>
  <c r="C142" i="11"/>
  <c r="C144" i="11"/>
  <c r="C146" i="11"/>
  <c r="C148" i="11"/>
  <c r="C150" i="11"/>
  <c r="C152" i="11"/>
  <c r="C154" i="11"/>
  <c r="C156" i="11"/>
  <c r="C158" i="11"/>
  <c r="C160" i="11"/>
  <c r="C171" i="11"/>
  <c r="C173" i="11"/>
  <c r="C175" i="11"/>
  <c r="C177" i="11"/>
  <c r="C179" i="11"/>
  <c r="C181" i="11"/>
  <c r="C183" i="11"/>
  <c r="C185" i="11"/>
  <c r="C187" i="11"/>
  <c r="C189" i="11"/>
  <c r="C191" i="11"/>
  <c r="C193" i="11"/>
  <c r="C195" i="11"/>
  <c r="C197" i="11"/>
  <c r="C199" i="11"/>
  <c r="C201" i="11"/>
  <c r="C203" i="11"/>
  <c r="C205" i="11"/>
  <c r="C207" i="11"/>
  <c r="C211" i="11"/>
  <c r="C215" i="11"/>
  <c r="C219" i="11"/>
  <c r="C83" i="11"/>
  <c r="C87" i="11"/>
  <c r="C91" i="11"/>
  <c r="C95" i="11"/>
  <c r="C99" i="11"/>
  <c r="C103" i="11"/>
  <c r="C107" i="11"/>
  <c r="C111" i="11"/>
  <c r="C115" i="11"/>
  <c r="C119" i="11"/>
  <c r="C123" i="11"/>
  <c r="C127" i="11"/>
  <c r="C131" i="11"/>
  <c r="C135" i="11"/>
  <c r="C139" i="11"/>
  <c r="C143" i="11"/>
  <c r="C147" i="11"/>
  <c r="C151" i="11"/>
  <c r="C155" i="11"/>
  <c r="C159" i="11"/>
  <c r="C209" i="11"/>
  <c r="C213" i="11"/>
  <c r="C217" i="11"/>
  <c r="C169" i="11"/>
  <c r="C81" i="11"/>
  <c r="C85" i="11"/>
  <c r="C89" i="11"/>
  <c r="C93" i="11"/>
  <c r="C97" i="11"/>
  <c r="C101" i="11"/>
  <c r="C105" i="11"/>
  <c r="C109" i="11"/>
  <c r="C113" i="11"/>
  <c r="C117" i="11"/>
  <c r="C121" i="11"/>
  <c r="C125" i="11"/>
  <c r="C129" i="11"/>
  <c r="C133" i="11"/>
  <c r="C137" i="11"/>
  <c r="C141" i="11"/>
  <c r="C145" i="11"/>
  <c r="C149" i="11"/>
  <c r="C153" i="11"/>
  <c r="C157" i="11"/>
  <c r="C80" i="11"/>
  <c r="K2" i="7"/>
  <c r="L2" i="7" s="1"/>
  <c r="C221" i="11" l="1"/>
  <c r="C161" i="11"/>
  <c r="I15" i="1" l="1"/>
  <c r="I15" i="2" s="1"/>
  <c r="C15" i="1"/>
  <c r="C15" i="2" s="1"/>
  <c r="C7" i="1"/>
  <c r="C7" i="2" s="1"/>
  <c r="C14" i="3" s="1"/>
  <c r="A1" i="6" l="1"/>
  <c r="A11" i="3"/>
  <c r="M6" i="3" s="1"/>
  <c r="I52" i="2" l="1"/>
  <c r="H52" i="2"/>
  <c r="B15" i="2"/>
  <c r="C52" i="2"/>
  <c r="C46" i="2"/>
  <c r="L9" i="3"/>
  <c r="B52" i="2"/>
  <c r="C48" i="2"/>
  <c r="A38" i="2"/>
  <c r="B52" i="1"/>
  <c r="C60" i="1"/>
  <c r="I52" i="1"/>
  <c r="H52" i="1"/>
  <c r="C52" i="1"/>
  <c r="C48" i="1"/>
  <c r="C46" i="1"/>
  <c r="C44" i="1"/>
  <c r="A38" i="1"/>
  <c r="J15" i="1"/>
  <c r="J17" i="1" s="1"/>
  <c r="D41" i="1"/>
  <c r="C60" i="2" l="1"/>
  <c r="L17" i="3"/>
  <c r="J52" i="1"/>
  <c r="J54" i="1" s="1"/>
  <c r="J15" i="2"/>
  <c r="J17" i="2" s="1"/>
  <c r="G11" i="3" s="1"/>
  <c r="L20" i="3" s="1"/>
  <c r="C44" i="2"/>
  <c r="C23" i="3"/>
  <c r="L13" i="3"/>
  <c r="H41" i="2"/>
  <c r="J52" i="2"/>
  <c r="J54" i="2" s="1"/>
  <c r="D41" i="2"/>
  <c r="H41" i="1"/>
</calcChain>
</file>

<file path=xl/sharedStrings.xml><?xml version="1.0" encoding="utf-8"?>
<sst xmlns="http://schemas.openxmlformats.org/spreadsheetml/2006/main" count="455" uniqueCount="306">
  <si>
    <t>Счет на оплату №</t>
  </si>
  <si>
    <t>Покупатель:</t>
  </si>
  <si>
    <t>Основание:</t>
  </si>
  <si>
    <t>Получил:</t>
  </si>
  <si>
    <t>№</t>
  </si>
  <si>
    <t>Код товара</t>
  </si>
  <si>
    <t>Наименование товара (работы, услуги)</t>
  </si>
  <si>
    <t>Сумма отпускная</t>
  </si>
  <si>
    <t>Цена отпускная</t>
  </si>
  <si>
    <t>Количество</t>
  </si>
  <si>
    <t>Единица измерения</t>
  </si>
  <si>
    <t>сом</t>
  </si>
  <si>
    <t>____________________________________</t>
  </si>
  <si>
    <t>1. Компания является плательщиком по упрощенной системе налогообложения на основе единого налога (ст.357 НК КР)</t>
  </si>
  <si>
    <t xml:space="preserve">2. Компания не является плательщиком  НДС (ст.228 НК КР) </t>
  </si>
  <si>
    <t>Итого к оплате:</t>
  </si>
  <si>
    <t>М.П.</t>
  </si>
  <si>
    <t>Руководитель _________________________</t>
  </si>
  <si>
    <t>00001</t>
  </si>
  <si>
    <t>Счет-фактура №</t>
  </si>
  <si>
    <t>ОсОО "Первый Автосервис"</t>
  </si>
  <si>
    <t>предприятие, организация</t>
  </si>
  <si>
    <t>ПРИХОДНЫЙ КАССОВЫЙ ОРДЕР</t>
  </si>
  <si>
    <t>Форма КО-1</t>
  </si>
  <si>
    <t>Код аналитического учета</t>
  </si>
  <si>
    <t>Сумма сом., тыйын</t>
  </si>
  <si>
    <t>Код целевого назначения</t>
  </si>
  <si>
    <t>КВИТАНЦИЯ</t>
  </si>
  <si>
    <t>к приходному кассовому ордеру</t>
  </si>
  <si>
    <t>Корреспонди-рующий счет, субсчет</t>
  </si>
  <si>
    <t>Код по ОКУД</t>
  </si>
  <si>
    <t>Принято от:</t>
  </si>
  <si>
    <t>Сумма:</t>
  </si>
  <si>
    <t>Руководитель ________________</t>
  </si>
  <si>
    <t>Приложение:</t>
  </si>
  <si>
    <t>тыйын</t>
  </si>
  <si>
    <t>00</t>
  </si>
  <si>
    <t>ЛИНИЯ ОТРЕЗА</t>
  </si>
  <si>
    <t>Объект оценки:</t>
  </si>
  <si>
    <t>Дата составления отчета:</t>
  </si>
  <si>
    <t>Цель оценки:</t>
  </si>
  <si>
    <t>Транспортное средство</t>
  </si>
  <si>
    <t>Рыночная стоимость восстановления транспортного средства</t>
  </si>
  <si>
    <t>Метод поэлементного расчета затратного подхода и метод рыночной информации сравнительного подхода</t>
  </si>
  <si>
    <t>Кузов (VIN) №:</t>
  </si>
  <si>
    <t>Рама (шасси) №:</t>
  </si>
  <si>
    <t>Тех. паспорт №:</t>
  </si>
  <si>
    <t xml:space="preserve">Адрес регистрации: </t>
  </si>
  <si>
    <t>Год выпуска:</t>
  </si>
  <si>
    <t>Цвет:</t>
  </si>
  <si>
    <t>-</t>
  </si>
  <si>
    <t>Н/у</t>
  </si>
  <si>
    <t>Частная собственность</t>
  </si>
  <si>
    <t>Для возмещения убытков (ст. 14 ГК КР)</t>
  </si>
  <si>
    <t>Кол-во</t>
  </si>
  <si>
    <t>Нормо-час</t>
  </si>
  <si>
    <t>Стоимость</t>
  </si>
  <si>
    <t xml:space="preserve">Наименование </t>
  </si>
  <si>
    <t>Объект оценки</t>
  </si>
  <si>
    <t>Аналог 1</t>
  </si>
  <si>
    <t>Аналог 2</t>
  </si>
  <si>
    <t>Аналог 3</t>
  </si>
  <si>
    <t>Аналог 4</t>
  </si>
  <si>
    <t>Дата оценки</t>
  </si>
  <si>
    <t>Краткое описание</t>
  </si>
  <si>
    <t>См. Акт осмотра</t>
  </si>
  <si>
    <t>Год выпуска</t>
  </si>
  <si>
    <t>Стоимость, сом</t>
  </si>
  <si>
    <t>Наименование корректировки</t>
  </si>
  <si>
    <t>скорректированная цена аналога, сом</t>
  </si>
  <si>
    <t>на пробег и год выпуска</t>
  </si>
  <si>
    <t>на комплектацию</t>
  </si>
  <si>
    <t>Стоимость объекта оценки, сом</t>
  </si>
  <si>
    <t>Рулевой механизм</t>
  </si>
  <si>
    <t>Прочее</t>
  </si>
  <si>
    <t>Кз</t>
  </si>
  <si>
    <t>Кв</t>
  </si>
  <si>
    <t>Коп</t>
  </si>
  <si>
    <t>Заказчик (полностью):</t>
  </si>
  <si>
    <t>001-01/20</t>
  </si>
  <si>
    <t>Пробег (указать ед. изм.):</t>
  </si>
  <si>
    <t>Отчет</t>
  </si>
  <si>
    <t>Идентификация прав:</t>
  </si>
  <si>
    <t>Подходы и методы:</t>
  </si>
  <si>
    <t>Назначение результатов:</t>
  </si>
  <si>
    <t>Место осмотра:</t>
  </si>
  <si>
    <t>Вид стоимости:</t>
  </si>
  <si>
    <t>Рег. (гос.) номер:</t>
  </si>
  <si>
    <t>Тип документа:</t>
  </si>
  <si>
    <t>08KG848ААА</t>
  </si>
  <si>
    <t>Subaru Outback</t>
  </si>
  <si>
    <t>JTJTJ884888488848</t>
  </si>
  <si>
    <t>КР 8848884</t>
  </si>
  <si>
    <t>Пурпурный</t>
  </si>
  <si>
    <t>г. Бишкек</t>
  </si>
  <si>
    <t>г. Бишкек, 88 мкр-н, 8-48</t>
  </si>
  <si>
    <t>Определение стоимости причиненного ущерба</t>
  </si>
  <si>
    <t>Легковой седан</t>
  </si>
  <si>
    <t>Тип ТС / кузова:</t>
  </si>
  <si>
    <t>Владелец:</t>
  </si>
  <si>
    <t>Услуги</t>
  </si>
  <si>
    <t>Материалы</t>
  </si>
  <si>
    <t>Запчасти</t>
  </si>
  <si>
    <t>Итого, сом</t>
  </si>
  <si>
    <t>Итого, $</t>
  </si>
  <si>
    <t>%</t>
  </si>
  <si>
    <t>Ремонтное воздействие</t>
  </si>
  <si>
    <t>Контакт</t>
  </si>
  <si>
    <t>Стоимость, $</t>
  </si>
  <si>
    <t>+996</t>
  </si>
  <si>
    <t>Для легковых</t>
  </si>
  <si>
    <t>Объем ДВС (в куб. см):</t>
  </si>
  <si>
    <t>Наименование агрегата, узла, детали</t>
  </si>
  <si>
    <t>Сi, %</t>
  </si>
  <si>
    <t>Сго, сом</t>
  </si>
  <si>
    <t>Кузовные детали, экстерьер, интерьер, в т.ч.:</t>
  </si>
  <si>
    <t>Передняя часть:</t>
  </si>
  <si>
    <t>Капот</t>
  </si>
  <si>
    <t>Крыло переднее (за 1 шт.)</t>
  </si>
  <si>
    <t>Бампер передний (в сборе с усилителем, накладками и молдингами, спойлером)</t>
  </si>
  <si>
    <t>Решетка (облицовка) радиатора</t>
  </si>
  <si>
    <t>Лонжерон передний (за 1 шт.)</t>
  </si>
  <si>
    <t>Брызговик крыла (за 1 шт.)</t>
  </si>
  <si>
    <t>Стекло ветрового окна</t>
  </si>
  <si>
    <t>Рамка радиатора</t>
  </si>
  <si>
    <t>Щиток передка</t>
  </si>
  <si>
    <t>Задняя часть:</t>
  </si>
  <si>
    <t>Бампер задний</t>
  </si>
  <si>
    <t>Крыло заднее (боковина &lt;1&gt;) в сборе с арками (за 1 шт.)</t>
  </si>
  <si>
    <t>Стекло окна задка</t>
  </si>
  <si>
    <t>Панель задка</t>
  </si>
  <si>
    <t>Пол багажника</t>
  </si>
  <si>
    <t>Облицовки багажника</t>
  </si>
  <si>
    <t>Крышка багажника (дверь задка)</t>
  </si>
  <si>
    <t>Средняя часть:</t>
  </si>
  <si>
    <t>Передняя стойка боковины (за 1 шт.)</t>
  </si>
  <si>
    <t>Средняя стойка боковины с порогом и частью пола (за 1 шт.)</t>
  </si>
  <si>
    <t>Облицовки стоек боковины, порогов, уплотнители, центральная консоль, противосолнечные козырьки, плафоны освещения, коврики пола, зеркало заднего вида</t>
  </si>
  <si>
    <t>Двери в сборе с арматурой (за 1 шт.),</t>
  </si>
  <si>
    <t>в т.ч. арматура дверей (за 1 дверной комплект)</t>
  </si>
  <si>
    <t>Сиденья (все)</t>
  </si>
  <si>
    <t>Панель крыши в сб. с обивкой, поперечинами и верх. частями стоек,</t>
  </si>
  <si>
    <t>в т.ч. обивка панели крыши</t>
  </si>
  <si>
    <t>Панель приборов в сборе с щитком приборов, решетками, вещевым ящиком, карманами и т.д.</t>
  </si>
  <si>
    <t>Ремень безопасности передний (за 1 шт.)</t>
  </si>
  <si>
    <t>Подушка безопасности пассажирская</t>
  </si>
  <si>
    <t>Двигатель, навесное, охлаждение, впускная и выпускная система</t>
  </si>
  <si>
    <t>Двигатель в сборе без навесного оборудования</t>
  </si>
  <si>
    <t>в т.ч. клапанная крышка</t>
  </si>
  <si>
    <t>в т.ч. масляный поддон</t>
  </si>
  <si>
    <t>в т.ч. блок цилиндров</t>
  </si>
  <si>
    <t>Дроссельный узел в сборе с заслонкой, клапаном и датчиком</t>
  </si>
  <si>
    <t>Генератор</t>
  </si>
  <si>
    <t>Коллектор впускной</t>
  </si>
  <si>
    <t>Коллектор выпускной</t>
  </si>
  <si>
    <t>Радиатор охлаждения в сборе с кожухами, вентилятором</t>
  </si>
  <si>
    <t>Стартер</t>
  </si>
  <si>
    <t>Короб воздушного фильтра с патрубками</t>
  </si>
  <si>
    <t>Выпускной тракт в сборе</t>
  </si>
  <si>
    <t>Турбокомпрессор (турбонагнетатель)</t>
  </si>
  <si>
    <t>Интеркулер</t>
  </si>
  <si>
    <t>Топливная система</t>
  </si>
  <si>
    <t>Бак топливный</t>
  </si>
  <si>
    <t>Система подачи топлива</t>
  </si>
  <si>
    <t>Трансмиссия</t>
  </si>
  <si>
    <t>Усредненный показатель с учетом всех возможных вариантов трансмиссии</t>
  </si>
  <si>
    <t>Подвеска</t>
  </si>
  <si>
    <t>Подвеска передняя в сборе с поперечиной</t>
  </si>
  <si>
    <t>Подвеска задняя в сборе с поперечиной</t>
  </si>
  <si>
    <t>Подвеска в сборе для полноприводных АМТС</t>
  </si>
  <si>
    <t>Рулевое управление</t>
  </si>
  <si>
    <t>Рулевая колонка в сборе с валом</t>
  </si>
  <si>
    <t>Насос ГУР</t>
  </si>
  <si>
    <t>Рулевое колесо в сборе с подушкой безопасности</t>
  </si>
  <si>
    <t>в т.ч.: подушка безопасности водительская</t>
  </si>
  <si>
    <t>Тормозная система</t>
  </si>
  <si>
    <t>Главный тормозной цилиндр</t>
  </si>
  <si>
    <t>Тормозной механизм колеса (за каждый колесный узел)</t>
  </si>
  <si>
    <t>Ручной (ножной) тормоз</t>
  </si>
  <si>
    <t>Блок управления АБС</t>
  </si>
  <si>
    <t>Электрооборудование</t>
  </si>
  <si>
    <t>Провода свечные с катушками (комплект)</t>
  </si>
  <si>
    <t>Монтажный блок</t>
  </si>
  <si>
    <t>Блок управления двигателем</t>
  </si>
  <si>
    <t>Фонари задние (за 1 шт.)</t>
  </si>
  <si>
    <t>Зеркала заднего вида боковые (за 1 шт.)</t>
  </si>
  <si>
    <t>Блок отопителя салона в сборе (корпус, двигатель, радиаторы)</t>
  </si>
  <si>
    <t>Насос кондиционера</t>
  </si>
  <si>
    <t>Конденсатор в сборе с осушителем, кожухом, вентилятором, трубками</t>
  </si>
  <si>
    <t>Фары (за 1 шт.)</t>
  </si>
  <si>
    <t>Жгут проводов ДВС</t>
  </si>
  <si>
    <t>Жгут проводов панели приборов</t>
  </si>
  <si>
    <t>Остальные жгуты проводов (все)</t>
  </si>
  <si>
    <t>Фара противотуманная (за 1 шт.)</t>
  </si>
  <si>
    <t>Для легковых (расширенный)</t>
  </si>
  <si>
    <t xml:space="preserve"> &lt;2&gt;</t>
  </si>
  <si>
    <t>8 &lt;1&gt;, 1 &lt;2&gt;, 6 &lt;3&gt;</t>
  </si>
  <si>
    <t xml:space="preserve"> 5,5 &lt;4&gt;</t>
  </si>
  <si>
    <t xml:space="preserve"> 4,5 &lt;4&gt;</t>
  </si>
  <si>
    <t xml:space="preserve"> 5 &lt;4&gt;, +5 &lt;4&gt;</t>
  </si>
  <si>
    <t xml:space="preserve"> 13 &lt;2&gt;</t>
  </si>
  <si>
    <t xml:space="preserve"> 0 &lt;1&gt;</t>
  </si>
  <si>
    <t xml:space="preserve"> 17 &lt;1&gt;</t>
  </si>
  <si>
    <t xml:space="preserve"> 3,1 &lt;1&gt;</t>
  </si>
  <si>
    <t xml:space="preserve"> 14 &lt;1&gt;</t>
  </si>
  <si>
    <t xml:space="preserve"> 45 &lt;1&gt;</t>
  </si>
  <si>
    <t xml:space="preserve"> 2,1 &lt;1&gt;</t>
  </si>
  <si>
    <t>Кабина в металле, внешнее и внутреннее оборудование и облицовки кабины, бампер</t>
  </si>
  <si>
    <t>24 (26 &lt;1&gt;)</t>
  </si>
  <si>
    <t>23 (25 &lt;1&gt;)</t>
  </si>
  <si>
    <t>22 (24 &lt;1&gt;)</t>
  </si>
  <si>
    <t>21 (23 &lt;1&gt;)</t>
  </si>
  <si>
    <t>19 (21 &lt;1&gt;)</t>
  </si>
  <si>
    <t>26 (28 &lt;1&gt;)</t>
  </si>
  <si>
    <t>Бампер передний</t>
  </si>
  <si>
    <t>Блок подрулевых переключателей</t>
  </si>
  <si>
    <t>Отопитель кабины в сборе</t>
  </si>
  <si>
    <t>Спойлеры, накладки, облицовки кабины наружные все</t>
  </si>
  <si>
    <t>Облицовки стоек боковины внутренние, порогов, уплотнители, центральная консоль, противосолнечные козырьки, плафоны освещения, коврики пола, зеркало заднего вида</t>
  </si>
  <si>
    <t>в т.ч. стекло- подъемник</t>
  </si>
  <si>
    <t>Панель приборов в сб. с щитком приборов, решетками, вещевым ящиком, карманами и т.д.,</t>
  </si>
  <si>
    <t>в т.ч. щиток приборов</t>
  </si>
  <si>
    <t>Зеркала заднего вида основные (за 1 шт.)</t>
  </si>
  <si>
    <t>Опора кабины (за 1 шт.)</t>
  </si>
  <si>
    <t>Стеклоочистители ветрового окна (мотор, привод, рычаги и щетки)</t>
  </si>
  <si>
    <t>Фара основная (за 1 шт.)</t>
  </si>
  <si>
    <t>Фонари габаритные, стоп-сигнала, указателя поворота, противотуманные (за 1 шт.)</t>
  </si>
  <si>
    <t>Подножка кабины (за 1 шт.)</t>
  </si>
  <si>
    <t>Жгут проводов кабины, блоки реле, датчики, предохранители</t>
  </si>
  <si>
    <t>Двигатель в сборе с навесным оборудованием, системой охлаждения, впускной и выпускной системами</t>
  </si>
  <si>
    <t>Система селективной каталитической нейтрализации выхлопных газов SCR (бак, змеевик, насосы, форсунка, блок управления)</t>
  </si>
  <si>
    <t>в т.ч. вентилятор с кожухами</t>
  </si>
  <si>
    <t>Система кондиционирования (конденсатор, испаритель, осушитель, насос, трубки)</t>
  </si>
  <si>
    <t>Труба выхлопная</t>
  </si>
  <si>
    <t>Топливная система (вся)</t>
  </si>
  <si>
    <t>Трансмиссия (усредненный показатель с учетом всех возможных вариантов трансмиссии)</t>
  </si>
  <si>
    <t>Подвеска (вся)</t>
  </si>
  <si>
    <t>в т.ч. подушка безопасности водительская</t>
  </si>
  <si>
    <t>Кузов (седельно-сцепное устройство тягача)</t>
  </si>
  <si>
    <t>3 (1 &lt;1&gt;)</t>
  </si>
  <si>
    <t>&lt;1&gt; Значение для автомобилей капотной компоновки.</t>
  </si>
  <si>
    <t>Бортовой</t>
  </si>
  <si>
    <t>Фургон</t>
  </si>
  <si>
    <t>Самосвал</t>
  </si>
  <si>
    <t>Рефрижератор</t>
  </si>
  <si>
    <t>Кран-манипулятор</t>
  </si>
  <si>
    <t>Седельный тягач</t>
  </si>
  <si>
    <t>&lt;1&gt; Значение для автомобилей с двумя боковыми дверьми.</t>
  </si>
  <si>
    <t>&lt;2&gt; Значение для автомобилей, оснащенных двигателем с турбонадувом.</t>
  </si>
  <si>
    <t>&lt;3&gt; Значение для автомобилей с двумя боковыми дверьми и оснащенными двигателем с турбонадувом.</t>
  </si>
  <si>
    <t>&lt;4&gt; Значение для автомобилей с полным приводом колес.</t>
  </si>
  <si>
    <t>1,3 (3,3 &lt;1&gt;)</t>
  </si>
  <si>
    <t>1,2 (3,2 &lt;1&gt;)</t>
  </si>
  <si>
    <t>1,1 (3,1 &lt;1&gt;)</t>
  </si>
  <si>
    <t>1,0 (3,0 &lt;1&gt;)</t>
  </si>
  <si>
    <t>Для грузовых</t>
  </si>
  <si>
    <t>Навальный Алексей «ФБК»</t>
  </si>
  <si>
    <t>УТС</t>
  </si>
  <si>
    <t>шт.</t>
  </si>
  <si>
    <t>Итого к оплате, сом</t>
  </si>
  <si>
    <t>Источник</t>
  </si>
  <si>
    <t>на состояние кузова и салона</t>
  </si>
  <si>
    <t>Цена предложения, сом</t>
  </si>
  <si>
    <t>Марка, модель</t>
  </si>
  <si>
    <t>на состояние двигателя и трансмиссии</t>
  </si>
  <si>
    <t>на торг (скидку)</t>
  </si>
  <si>
    <t>Дата оценки (осмотра):</t>
  </si>
  <si>
    <t>Основание оценки:</t>
  </si>
  <si>
    <t>Тип КПП:</t>
  </si>
  <si>
    <t>Положение руля:</t>
  </si>
  <si>
    <t>Номер отчета:</t>
  </si>
  <si>
    <t>Марка, модель:</t>
  </si>
  <si>
    <t>Автоматическая</t>
  </si>
  <si>
    <t>Слева</t>
  </si>
  <si>
    <t>Две тысячи пятьсот</t>
  </si>
  <si>
    <t>Сумма оплаты прописью, сом:</t>
  </si>
  <si>
    <t>Сумма оплаты цифрами, сом:</t>
  </si>
  <si>
    <t>Результат цифрами, сом:</t>
  </si>
  <si>
    <t>Результат прописью, сом:</t>
  </si>
  <si>
    <t>Курс USD/KGS:</t>
  </si>
  <si>
    <t>Нормо-час, сом:</t>
  </si>
  <si>
    <t>ОсОО "Первый Автосервис", г. Бишкек, ул. Атбашинская, 2/1; ИНН 01501201910391;
Р/с 1091805549830135; БЦФ ОАО «Оптима Банк»; БИК 109018; УГНС по Первомайскому району (004);
Тел. +996 (550) 560 220, +996 (706) 560 220, +996 (776) 560 220</t>
  </si>
  <si>
    <t>Исполнитель:</t>
  </si>
  <si>
    <t>ОсОО «Первый Автосервис»</t>
  </si>
  <si>
    <t>Заказчик:</t>
  </si>
  <si>
    <t>№ отчёта</t>
  </si>
  <si>
    <t>Регистр. номер</t>
  </si>
  <si>
    <t>Стоимость
за отчёт, сом</t>
  </si>
  <si>
    <t>Итого на сумму:</t>
  </si>
  <si>
    <t>Вышеперечисленные работы (услуги) выполнены полностью и в срок.</t>
  </si>
  <si>
    <t>Заказчик претензий по объему, качеству и срокам оказания услуг претензий не имеет.</t>
  </si>
  <si>
    <t>Исполнитель _________________________</t>
  </si>
  <si>
    <t>Заказчик _________________________</t>
  </si>
  <si>
    <t>Марка, модель</t>
  </si>
  <si>
    <t>Хорошее состояние, 3,0 турбодизель, монитор, полный электропакет, 888 888 км, торг</t>
  </si>
  <si>
    <t>на тип трансмиссии</t>
  </si>
  <si>
    <t>Восемьсот восемьдесят восемь тысяч восемьсот восемьдесят</t>
  </si>
  <si>
    <t>Автоматически</t>
  </si>
  <si>
    <t>01 января 2020 г.</t>
  </si>
  <si>
    <t>07 января 2020 г.</t>
  </si>
  <si>
    <t>Номер
документа</t>
  </si>
  <si>
    <t>Дата
составления</t>
  </si>
  <si>
    <t>2088</t>
  </si>
  <si>
    <t>Авто</t>
  </si>
  <si>
    <t>$</t>
  </si>
  <si>
    <t>Авто Сi,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</si>
</sst>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_₽_-;\-* #,##0.00\ _₽_-;_-* &quot;-&quot;??\ _₽_-;_-@_-"/>
    <numFmt numFmtId="165" formatCode="\'sh\е\т\ \н\а\ \о\п\л\а\т\у\ \№\'\ dd\/mm"/>
    <numFmt numFmtId="166" formatCode="&quot;№&quot;dd\/mm"/>
    <numFmt numFmtId="167" formatCode="dd\/mm"/>
    <numFmt numFmtId="168" formatCode="[$-F800]dddd\,\ mmmm\ dd\,\ yyyy"/>
    <numFmt numFmtId="169" formatCode="#,##0.00\ _₽"/>
    <numFmt numFmtId="170" formatCode="0.0"/>
    <numFmt numFmtId="171" formatCode="#,##0.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b/>
      <sz val="12"/>
      <color theme="0"/>
      <name val="Times New Roman"/>
      <family val="1"/>
      <charset val="204"/>
    </font>
    <font>
      <sz val="12"/>
      <color indexed="8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ashed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theme="2"/>
      </bottom>
      <diagonal/>
    </border>
  </borders>
  <cellStyleXfs count="6">
    <xf numFmtId="0" fontId="0" fillId="0" borderId="0"/>
    <xf numFmtId="164" fontId="6" fillId="0" borderId="0" applyFont="0" applyFill="0" applyBorder="0" applyAlignment="0" applyProtection="0"/>
    <xf numFmtId="0" fontId="15" fillId="0" borderId="0"/>
    <xf numFmtId="0" fontId="17" fillId="0" borderId="0"/>
    <xf numFmtId="0" fontId="18" fillId="0" borderId="0"/>
    <xf numFmtId="9" fontId="21" fillId="0" borderId="0" applyFont="0" applyFill="0" applyBorder="0" applyAlignment="0" applyProtection="0"/>
  </cellStyleXfs>
  <cellXfs count="216">
    <xf numFmtId="0" fontId="0" fillId="0" borderId="0" xfId="0"/>
    <xf numFmtId="0" fontId="7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9" fillId="0" borderId="0" xfId="0" applyNumberFormat="1" applyFont="1" applyAlignment="1">
      <alignment vertical="center"/>
    </xf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4" fontId="8" fillId="0" borderId="23" xfId="1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4" fontId="8" fillId="2" borderId="23" xfId="1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26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 wrapText="1"/>
    </xf>
    <xf numFmtId="0" fontId="0" fillId="0" borderId="0" xfId="0" applyBorder="1"/>
    <xf numFmtId="169" fontId="0" fillId="0" borderId="2" xfId="0" applyNumberFormat="1" applyBorder="1"/>
    <xf numFmtId="0" fontId="0" fillId="0" borderId="0" xfId="0"/>
    <xf numFmtId="0" fontId="0" fillId="0" borderId="2" xfId="0" applyBorder="1"/>
    <xf numFmtId="0" fontId="20" fillId="0" borderId="0" xfId="3" applyFont="1" applyFill="1" applyAlignment="1">
      <alignment horizontal="left" wrapText="1"/>
    </xf>
    <xf numFmtId="169" fontId="14" fillId="0" borderId="0" xfId="0" applyNumberFormat="1" applyFont="1"/>
    <xf numFmtId="0" fontId="14" fillId="0" borderId="0" xfId="0" applyFont="1" applyAlignment="1">
      <alignment horizontal="right"/>
    </xf>
    <xf numFmtId="2" fontId="0" fillId="0" borderId="0" xfId="0" applyNumberFormat="1"/>
    <xf numFmtId="2" fontId="0" fillId="0" borderId="0" xfId="0" quotePrefix="1" applyNumberFormat="1" applyBorder="1"/>
    <xf numFmtId="4" fontId="0" fillId="0" borderId="0" xfId="0" quotePrefix="1" applyNumberFormat="1" applyBorder="1" applyAlignment="1">
      <alignment horizontal="right"/>
    </xf>
    <xf numFmtId="4" fontId="0" fillId="0" borderId="0" xfId="0" applyNumberFormat="1" applyBorder="1"/>
    <xf numFmtId="0" fontId="0" fillId="0" borderId="0" xfId="0" applyFill="1"/>
    <xf numFmtId="0" fontId="0" fillId="0" borderId="0" xfId="0" applyFill="1" applyBorder="1"/>
    <xf numFmtId="169" fontId="0" fillId="0" borderId="0" xfId="0" applyNumberFormat="1" applyBorder="1"/>
    <xf numFmtId="0" fontId="14" fillId="0" borderId="0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169" fontId="14" fillId="0" borderId="0" xfId="0" applyNumberFormat="1" applyFont="1" applyBorder="1"/>
    <xf numFmtId="4" fontId="14" fillId="0" borderId="2" xfId="0" applyNumberFormat="1" applyFont="1" applyBorder="1" applyAlignment="1">
      <alignment horizontal="center"/>
    </xf>
    <xf numFmtId="0" fontId="0" fillId="0" borderId="2" xfId="0" quotePrefix="1" applyBorder="1"/>
    <xf numFmtId="169" fontId="0" fillId="0" borderId="0" xfId="0" applyNumberFormat="1" applyFill="1" applyBorder="1"/>
    <xf numFmtId="0" fontId="0" fillId="0" borderId="0" xfId="0" quotePrefix="1" applyBorder="1"/>
    <xf numFmtId="0" fontId="14" fillId="0" borderId="0" xfId="0" applyFont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1" fontId="14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70" fontId="0" fillId="0" borderId="2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14" fillId="0" borderId="29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right"/>
    </xf>
    <xf numFmtId="2" fontId="14" fillId="0" borderId="2" xfId="0" applyNumberFormat="1" applyFont="1" applyBorder="1" applyAlignment="1">
      <alignment horizontal="right"/>
    </xf>
    <xf numFmtId="0" fontId="23" fillId="0" borderId="2" xfId="0" applyFont="1" applyBorder="1" applyAlignment="1">
      <alignment vertical="center" wrapText="1"/>
    </xf>
    <xf numFmtId="14" fontId="19" fillId="0" borderId="2" xfId="0" applyNumberFormat="1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" fontId="24" fillId="0" borderId="2" xfId="0" quotePrefix="1" applyNumberFormat="1" applyFont="1" applyBorder="1" applyAlignment="1">
      <alignment horizontal="center" vertical="center" wrapText="1"/>
    </xf>
    <xf numFmtId="0" fontId="0" fillId="0" borderId="0" xfId="0" applyFont="1"/>
    <xf numFmtId="3" fontId="25" fillId="5" borderId="2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0" xfId="0" applyFont="1"/>
    <xf numFmtId="3" fontId="23" fillId="0" borderId="2" xfId="0" applyNumberFormat="1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5" fillId="0" borderId="0" xfId="0" applyFont="1" applyFill="1" applyBorder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29" fillId="0" borderId="0" xfId="0" applyNumberFormat="1" applyFont="1" applyAlignment="1">
      <alignment vertical="center" wrapText="1"/>
    </xf>
    <xf numFmtId="0" fontId="30" fillId="0" borderId="0" xfId="0" applyFont="1" applyAlignment="1">
      <alignment vertical="center"/>
    </xf>
    <xf numFmtId="0" fontId="29" fillId="0" borderId="0" xfId="0" applyNumberFormat="1" applyFont="1" applyAlignment="1">
      <alignment vertical="center"/>
    </xf>
    <xf numFmtId="165" fontId="29" fillId="0" borderId="0" xfId="0" applyNumberFormat="1" applyFont="1" applyAlignment="1">
      <alignment horizontal="right" vertical="center" wrapText="1"/>
    </xf>
    <xf numFmtId="14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2" fontId="29" fillId="0" borderId="27" xfId="0" applyNumberFormat="1" applyFont="1" applyFill="1" applyBorder="1" applyAlignment="1">
      <alignment horizontal="center" vertical="center" wrapText="1"/>
    </xf>
    <xf numFmtId="2" fontId="29" fillId="0" borderId="13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/>
    </xf>
    <xf numFmtId="0" fontId="30" fillId="0" borderId="0" xfId="0" applyFont="1" applyFill="1" applyAlignment="1">
      <alignment vertical="center"/>
    </xf>
    <xf numFmtId="0" fontId="30" fillId="0" borderId="28" xfId="0" applyFont="1" applyFill="1" applyBorder="1" applyAlignment="1">
      <alignment horizontal="left"/>
    </xf>
    <xf numFmtId="0" fontId="30" fillId="0" borderId="2" xfId="0" applyFont="1" applyFill="1" applyBorder="1" applyAlignment="1">
      <alignment horizontal="left"/>
    </xf>
    <xf numFmtId="169" fontId="30" fillId="0" borderId="16" xfId="0" applyNumberFormat="1" applyFont="1" applyFill="1" applyBorder="1" applyAlignment="1">
      <alignment horizontal="center"/>
    </xf>
    <xf numFmtId="169" fontId="29" fillId="0" borderId="23" xfId="0" applyNumberFormat="1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0" fillId="0" borderId="0" xfId="0" applyFill="1" applyBorder="1" applyAlignment="1">
      <alignment horizontal="left"/>
    </xf>
    <xf numFmtId="0" fontId="0" fillId="6" borderId="0" xfId="0" applyFill="1"/>
    <xf numFmtId="0" fontId="0" fillId="6" borderId="0" xfId="0" applyFill="1" applyBorder="1"/>
    <xf numFmtId="0" fontId="0" fillId="6" borderId="30" xfId="0" applyFill="1" applyBorder="1"/>
    <xf numFmtId="0" fontId="0" fillId="6" borderId="31" xfId="0" applyFill="1" applyBorder="1"/>
    <xf numFmtId="0" fontId="0" fillId="0" borderId="31" xfId="0" applyFill="1" applyBorder="1"/>
    <xf numFmtId="0" fontId="0" fillId="6" borderId="20" xfId="0" applyFill="1" applyBorder="1"/>
    <xf numFmtId="0" fontId="0" fillId="6" borderId="32" xfId="0" applyFill="1" applyBorder="1" applyAlignment="1">
      <alignment horizontal="left"/>
    </xf>
    <xf numFmtId="0" fontId="0" fillId="6" borderId="33" xfId="0" applyFill="1" applyBorder="1" applyAlignment="1">
      <alignment horizontal="left"/>
    </xf>
    <xf numFmtId="0" fontId="0" fillId="0" borderId="33" xfId="0" applyFill="1" applyBorder="1" applyAlignment="1">
      <alignment horizontal="left"/>
    </xf>
    <xf numFmtId="0" fontId="4" fillId="0" borderId="33" xfId="0" applyFont="1" applyFill="1" applyBorder="1" applyAlignment="1">
      <alignment horizontal="left"/>
    </xf>
    <xf numFmtId="3" fontId="0" fillId="6" borderId="33" xfId="0" applyNumberFormat="1" applyFill="1" applyBorder="1" applyAlignment="1">
      <alignment horizontal="left"/>
    </xf>
    <xf numFmtId="0" fontId="0" fillId="6" borderId="34" xfId="0" applyFill="1" applyBorder="1" applyAlignment="1">
      <alignment horizontal="left"/>
    </xf>
    <xf numFmtId="0" fontId="0" fillId="0" borderId="20" xfId="0" applyFill="1" applyBorder="1"/>
    <xf numFmtId="0" fontId="0" fillId="0" borderId="34" xfId="0" applyFill="1" applyBorder="1" applyAlignment="1">
      <alignment horizontal="left"/>
    </xf>
    <xf numFmtId="0" fontId="0" fillId="0" borderId="30" xfId="0" applyFill="1" applyBorder="1"/>
    <xf numFmtId="0" fontId="0" fillId="0" borderId="20" xfId="0" applyFill="1" applyBorder="1" applyAlignment="1">
      <alignment vertical="top" wrapText="1"/>
    </xf>
    <xf numFmtId="3" fontId="3" fillId="0" borderId="33" xfId="0" applyNumberFormat="1" applyFont="1" applyFill="1" applyBorder="1" applyAlignment="1">
      <alignment horizontal="left"/>
    </xf>
    <xf numFmtId="0" fontId="2" fillId="0" borderId="34" xfId="0" applyFont="1" applyFill="1" applyBorder="1" applyAlignment="1">
      <alignment horizontal="left"/>
    </xf>
    <xf numFmtId="171" fontId="3" fillId="0" borderId="32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1" fillId="0" borderId="2" xfId="0" applyFont="1" applyBorder="1" applyAlignment="1">
      <alignment horizontal="right" vertical="center"/>
    </xf>
    <xf numFmtId="169" fontId="0" fillId="0" borderId="2" xfId="0" applyNumberFormat="1" applyBorder="1" applyAlignment="1">
      <alignment horizontal="right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0" fillId="6" borderId="33" xfId="0" applyNumberFormat="1" applyFill="1" applyBorder="1" applyAlignment="1">
      <alignment horizontal="left"/>
    </xf>
    <xf numFmtId="49" fontId="0" fillId="0" borderId="33" xfId="0" applyNumberFormat="1" applyFill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vertical="center" textRotation="90"/>
    </xf>
    <xf numFmtId="2" fontId="14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left" vertical="center"/>
    </xf>
    <xf numFmtId="0" fontId="8" fillId="0" borderId="20" xfId="0" applyFont="1" applyBorder="1" applyAlignment="1">
      <alignment horizontal="right" vertical="center"/>
    </xf>
    <xf numFmtId="0" fontId="8" fillId="0" borderId="21" xfId="0" applyFont="1" applyBorder="1" applyAlignment="1">
      <alignment horizontal="right" vertical="center"/>
    </xf>
    <xf numFmtId="0" fontId="8" fillId="0" borderId="22" xfId="0" applyFont="1" applyBorder="1" applyAlignment="1">
      <alignment horizontal="right" vertical="center"/>
    </xf>
    <xf numFmtId="0" fontId="1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" fontId="7" fillId="0" borderId="3" xfId="1" applyNumberFormat="1" applyFont="1" applyBorder="1" applyAlignment="1">
      <alignment horizontal="center" vertical="center" wrapText="1"/>
    </xf>
    <xf numFmtId="4" fontId="7" fillId="0" borderId="4" xfId="1" applyNumberFormat="1" applyFont="1" applyBorder="1" applyAlignment="1">
      <alignment horizontal="center" vertical="center" wrapText="1"/>
    </xf>
    <xf numFmtId="4" fontId="7" fillId="0" borderId="18" xfId="1" applyNumberFormat="1" applyFont="1" applyBorder="1" applyAlignment="1">
      <alignment horizontal="center" vertical="center" wrapText="1"/>
    </xf>
    <xf numFmtId="4" fontId="7" fillId="0" borderId="19" xfId="1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" fontId="7" fillId="0" borderId="3" xfId="0" quotePrefix="1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right" vertical="center"/>
    </xf>
    <xf numFmtId="1" fontId="7" fillId="0" borderId="3" xfId="0" applyNumberFormat="1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right" vertical="center"/>
    </xf>
    <xf numFmtId="0" fontId="9" fillId="0" borderId="0" xfId="0" applyNumberFormat="1" applyFont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right" vertical="center"/>
    </xf>
    <xf numFmtId="0" fontId="8" fillId="2" borderId="21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8" fontId="11" fillId="0" borderId="0" xfId="0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14" fontId="7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textRotation="90" wrapText="1"/>
    </xf>
    <xf numFmtId="49" fontId="7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 wrapText="1"/>
    </xf>
    <xf numFmtId="0" fontId="29" fillId="0" borderId="0" xfId="0" applyNumberFormat="1" applyFont="1" applyAlignment="1">
      <alignment horizontal="center" vertical="center"/>
    </xf>
    <xf numFmtId="0" fontId="31" fillId="0" borderId="0" xfId="0" applyFont="1" applyBorder="1" applyAlignment="1">
      <alignment horizontal="left" vertical="center"/>
    </xf>
    <xf numFmtId="0" fontId="29" fillId="0" borderId="20" xfId="0" applyFont="1" applyFill="1" applyBorder="1" applyAlignment="1">
      <alignment horizontal="right"/>
    </xf>
    <xf numFmtId="0" fontId="29" fillId="0" borderId="21" xfId="0" applyFont="1" applyFill="1" applyBorder="1" applyAlignment="1">
      <alignment horizontal="right"/>
    </xf>
    <xf numFmtId="0" fontId="29" fillId="0" borderId="22" xfId="0" applyFont="1" applyFill="1" applyBorder="1" applyAlignment="1">
      <alignment horizontal="right"/>
    </xf>
    <xf numFmtId="0" fontId="29" fillId="0" borderId="0" xfId="0" applyFont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3" fontId="22" fillId="4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24" fillId="5" borderId="2" xfId="0" applyFont="1" applyFill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/>
    </xf>
    <xf numFmtId="0" fontId="16" fillId="3" borderId="29" xfId="0" applyFont="1" applyFill="1" applyBorder="1" applyAlignment="1">
      <alignment vertical="center"/>
    </xf>
  </cellXfs>
  <cellStyles count="6">
    <cellStyle name="Обычный" xfId="0" builtinId="0"/>
    <cellStyle name="Обычный 2 3" xfId="4" xr:uid="{00000000-0005-0000-0000-000001000000}"/>
    <cellStyle name="Обычный 3 4" xfId="2" xr:uid="{00000000-0005-0000-0000-000002000000}"/>
    <cellStyle name="Обычный_Расчет подвал по ул.Токтогула 57" xfId="3" xr:uid="{00000000-0005-0000-0000-000003000000}"/>
    <cellStyle name="Процентный 4" xfId="5" xr:uid="{00000000-0005-0000-0000-000004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Normal="100" workbookViewId="0">
      <selection activeCell="B1" sqref="B1"/>
    </sheetView>
  </sheetViews>
  <sheetFormatPr defaultColWidth="9.1796875" defaultRowHeight="14.5" x14ac:dyDescent="0.35"/>
  <cols>
    <col min="1" max="1" width="29.26953125" style="38" bestFit="1" customWidth="1"/>
    <col min="2" max="2" width="103.453125" style="38" customWidth="1"/>
    <col min="3" max="3" width="12.26953125" style="38" customWidth="1"/>
    <col min="4" max="13" width="8.7265625" style="38" customWidth="1"/>
    <col min="14" max="14" width="9.26953125" style="38" customWidth="1"/>
    <col min="15" max="16384" width="9.1796875" style="38"/>
  </cols>
  <sheetData>
    <row r="1" spans="1:13" s="97" customFormat="1" x14ac:dyDescent="0.35">
      <c r="A1" s="99" t="s">
        <v>88</v>
      </c>
      <c r="B1" s="103" t="s">
        <v>81</v>
      </c>
    </row>
    <row r="2" spans="1:13" s="97" customFormat="1" x14ac:dyDescent="0.35">
      <c r="A2" s="100" t="s">
        <v>270</v>
      </c>
      <c r="B2" s="104" t="s">
        <v>79</v>
      </c>
    </row>
    <row r="3" spans="1:13" x14ac:dyDescent="0.35">
      <c r="A3" s="101" t="s">
        <v>267</v>
      </c>
      <c r="B3" s="105" t="str">
        <f>"Договор №"&amp;B2&amp;" от "&amp;TEXT(B4,"[$-ru-RU-x-genlower]ДД ММММ ГГГГ \г\.;@")</f>
        <v>Договор №001-01/20 от 01 января 2020 г.</v>
      </c>
    </row>
    <row r="4" spans="1:13" s="97" customFormat="1" x14ac:dyDescent="0.35">
      <c r="A4" s="100" t="s">
        <v>266</v>
      </c>
      <c r="B4" s="123" t="s">
        <v>298</v>
      </c>
    </row>
    <row r="5" spans="1:13" x14ac:dyDescent="0.35">
      <c r="A5" s="101" t="s">
        <v>39</v>
      </c>
      <c r="B5" s="124" t="s">
        <v>299</v>
      </c>
    </row>
    <row r="6" spans="1:13" s="97" customFormat="1" x14ac:dyDescent="0.35">
      <c r="A6" s="100" t="s">
        <v>78</v>
      </c>
      <c r="B6" s="104" t="s">
        <v>256</v>
      </c>
    </row>
    <row r="7" spans="1:13" x14ac:dyDescent="0.35">
      <c r="A7" s="101" t="s">
        <v>82</v>
      </c>
      <c r="B7" s="105" t="s">
        <v>52</v>
      </c>
    </row>
    <row r="8" spans="1:13" x14ac:dyDescent="0.35">
      <c r="A8" s="101" t="s">
        <v>85</v>
      </c>
      <c r="B8" s="106" t="s">
        <v>94</v>
      </c>
      <c r="D8" s="39"/>
      <c r="E8" s="39"/>
      <c r="F8" s="39"/>
      <c r="G8" s="39"/>
      <c r="H8" s="39"/>
      <c r="I8" s="39"/>
      <c r="J8" s="73"/>
      <c r="K8" s="39"/>
      <c r="L8" s="39"/>
      <c r="M8" s="39"/>
    </row>
    <row r="9" spans="1:13" s="97" customFormat="1" x14ac:dyDescent="0.35">
      <c r="A9" s="100" t="s">
        <v>40</v>
      </c>
      <c r="B9" s="104" t="s">
        <v>96</v>
      </c>
    </row>
    <row r="10" spans="1:13" x14ac:dyDescent="0.35">
      <c r="A10" s="101" t="s">
        <v>84</v>
      </c>
      <c r="B10" s="105" t="s">
        <v>53</v>
      </c>
    </row>
    <row r="11" spans="1:13" x14ac:dyDescent="0.35">
      <c r="A11" s="101" t="s">
        <v>86</v>
      </c>
      <c r="B11" s="105" t="s">
        <v>42</v>
      </c>
    </row>
    <row r="12" spans="1:13" x14ac:dyDescent="0.35">
      <c r="A12" s="101" t="s">
        <v>83</v>
      </c>
      <c r="B12" s="105" t="s">
        <v>43</v>
      </c>
    </row>
    <row r="13" spans="1:13" s="97" customFormat="1" x14ac:dyDescent="0.35">
      <c r="A13" s="100" t="s">
        <v>276</v>
      </c>
      <c r="B13" s="107">
        <v>2500</v>
      </c>
    </row>
    <row r="14" spans="1:13" s="97" customFormat="1" ht="15" thickBot="1" x14ac:dyDescent="0.4">
      <c r="A14" s="102" t="s">
        <v>275</v>
      </c>
      <c r="B14" s="108" t="s">
        <v>274</v>
      </c>
    </row>
    <row r="15" spans="1:13" ht="15" thickBot="1" x14ac:dyDescent="0.4">
      <c r="A15" s="39"/>
      <c r="B15" s="96"/>
    </row>
    <row r="16" spans="1:13" s="97" customFormat="1" x14ac:dyDescent="0.35">
      <c r="A16" s="99" t="s">
        <v>38</v>
      </c>
      <c r="B16" s="103" t="s">
        <v>41</v>
      </c>
      <c r="D16" s="98"/>
    </row>
    <row r="17" spans="1:7" s="97" customFormat="1" x14ac:dyDescent="0.35">
      <c r="A17" s="100" t="s">
        <v>271</v>
      </c>
      <c r="B17" s="104" t="s">
        <v>90</v>
      </c>
    </row>
    <row r="18" spans="1:7" s="97" customFormat="1" x14ac:dyDescent="0.35">
      <c r="A18" s="100" t="s">
        <v>87</v>
      </c>
      <c r="B18" s="104" t="s">
        <v>89</v>
      </c>
    </row>
    <row r="19" spans="1:7" x14ac:dyDescent="0.35">
      <c r="A19" s="101" t="s">
        <v>44</v>
      </c>
      <c r="B19" s="105" t="s">
        <v>91</v>
      </c>
    </row>
    <row r="20" spans="1:7" x14ac:dyDescent="0.35">
      <c r="A20" s="101" t="s">
        <v>45</v>
      </c>
      <c r="B20" s="105" t="s">
        <v>50</v>
      </c>
    </row>
    <row r="21" spans="1:7" x14ac:dyDescent="0.35">
      <c r="A21" s="101" t="s">
        <v>46</v>
      </c>
      <c r="B21" s="105" t="s">
        <v>92</v>
      </c>
    </row>
    <row r="22" spans="1:7" x14ac:dyDescent="0.35">
      <c r="A22" s="101" t="s">
        <v>48</v>
      </c>
      <c r="B22" s="124" t="s">
        <v>302</v>
      </c>
    </row>
    <row r="23" spans="1:7" ht="14.65" customHeight="1" x14ac:dyDescent="0.35">
      <c r="A23" s="101" t="s">
        <v>111</v>
      </c>
      <c r="B23" s="105">
        <v>2498</v>
      </c>
    </row>
    <row r="24" spans="1:7" x14ac:dyDescent="0.35">
      <c r="A24" s="101" t="s">
        <v>80</v>
      </c>
      <c r="B24" s="105" t="s">
        <v>51</v>
      </c>
    </row>
    <row r="25" spans="1:7" x14ac:dyDescent="0.35">
      <c r="A25" s="101" t="s">
        <v>49</v>
      </c>
      <c r="B25" s="105" t="s">
        <v>93</v>
      </c>
    </row>
    <row r="26" spans="1:7" x14ac:dyDescent="0.35">
      <c r="A26" s="101" t="s">
        <v>98</v>
      </c>
      <c r="B26" s="105" t="s">
        <v>97</v>
      </c>
    </row>
    <row r="27" spans="1:7" x14ac:dyDescent="0.35">
      <c r="A27" s="101" t="s">
        <v>268</v>
      </c>
      <c r="B27" s="105" t="s">
        <v>272</v>
      </c>
      <c r="F27" s="39"/>
      <c r="G27" s="39"/>
    </row>
    <row r="28" spans="1:7" x14ac:dyDescent="0.35">
      <c r="A28" s="101" t="s">
        <v>269</v>
      </c>
      <c r="B28" s="105" t="s">
        <v>273</v>
      </c>
      <c r="E28" s="39"/>
    </row>
    <row r="29" spans="1:7" x14ac:dyDescent="0.35">
      <c r="A29" s="101" t="s">
        <v>99</v>
      </c>
      <c r="B29" s="105" t="str">
        <f>B6</f>
        <v>Навальный Алексей «ФБК»</v>
      </c>
    </row>
    <row r="30" spans="1:7" ht="15" thickBot="1" x14ac:dyDescent="0.4">
      <c r="A30" s="109" t="s">
        <v>47</v>
      </c>
      <c r="B30" s="110" t="s">
        <v>95</v>
      </c>
    </row>
    <row r="31" spans="1:7" ht="15" thickBot="1" x14ac:dyDescent="0.4">
      <c r="A31" s="39"/>
      <c r="B31" s="96"/>
    </row>
    <row r="32" spans="1:7" x14ac:dyDescent="0.35">
      <c r="A32" s="111" t="s">
        <v>279</v>
      </c>
      <c r="B32" s="115">
        <v>75</v>
      </c>
    </row>
    <row r="33" spans="1:2" x14ac:dyDescent="0.35">
      <c r="A33" s="101" t="s">
        <v>280</v>
      </c>
      <c r="B33" s="113">
        <v>550</v>
      </c>
    </row>
    <row r="34" spans="1:2" x14ac:dyDescent="0.35">
      <c r="A34" s="101" t="s">
        <v>277</v>
      </c>
      <c r="B34" s="113">
        <v>888880</v>
      </c>
    </row>
    <row r="35" spans="1:2" ht="15" thickBot="1" x14ac:dyDescent="0.4">
      <c r="A35" s="112" t="s">
        <v>278</v>
      </c>
      <c r="B35" s="114" t="s">
        <v>296</v>
      </c>
    </row>
  </sheetData>
  <phoneticPr fontId="33" type="noConversion"/>
  <pageMargins left="0.7" right="0.7" top="0.75" bottom="0.75" header="0.3" footer="0.3"/>
  <pageSetup paperSize="9" orientation="portrait" r:id="rId1"/>
  <ignoredErrors>
    <ignoredError sqref="B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23"/>
  <sheetViews>
    <sheetView view="pageBreakPreview" zoomScaleNormal="100" zoomScaleSheetLayoutView="100" workbookViewId="0">
      <selection activeCell="H4" sqref="H4:J5"/>
    </sheetView>
  </sheetViews>
  <sheetFormatPr defaultColWidth="9.26953125" defaultRowHeight="13" x14ac:dyDescent="0.3"/>
  <cols>
    <col min="1" max="1" width="3.26953125" style="1" customWidth="1"/>
    <col min="2" max="10" width="10.26953125" style="1" customWidth="1"/>
    <col min="11" max="16384" width="9.26953125" style="1"/>
  </cols>
  <sheetData>
    <row r="1" spans="1:10" s="7" customFormat="1" ht="12.75" customHeight="1" x14ac:dyDescent="0.35">
      <c r="A1" s="130" t="s">
        <v>281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s="7" customFormat="1" ht="12.75" customHeight="1" x14ac:dyDescent="0.35">
      <c r="A2" s="130"/>
      <c r="B2" s="130"/>
      <c r="C2" s="130"/>
      <c r="D2" s="130"/>
      <c r="E2" s="130"/>
      <c r="F2" s="130"/>
      <c r="G2" s="130"/>
      <c r="H2" s="130"/>
      <c r="I2" s="130"/>
      <c r="J2" s="130"/>
    </row>
    <row r="3" spans="1:10" s="7" customFormat="1" ht="12.75" customHeight="1" x14ac:dyDescent="0.35">
      <c r="A3" s="130"/>
      <c r="B3" s="130"/>
      <c r="C3" s="130"/>
      <c r="D3" s="130"/>
      <c r="E3" s="130"/>
      <c r="F3" s="130"/>
      <c r="G3" s="130"/>
      <c r="H3" s="130"/>
      <c r="I3" s="130"/>
      <c r="J3" s="130"/>
    </row>
    <row r="4" spans="1:10" s="7" customFormat="1" ht="12.75" customHeight="1" x14ac:dyDescent="0.35">
      <c r="A4" s="131" t="s">
        <v>0</v>
      </c>
      <c r="B4" s="131"/>
      <c r="C4" s="131"/>
      <c r="D4" s="139" t="str">
        <f>Дано!B2</f>
        <v>001-01/20</v>
      </c>
      <c r="E4" s="139"/>
      <c r="F4" s="5"/>
      <c r="G4" s="2"/>
      <c r="H4" s="137" t="str">
        <f>Дано!B4</f>
        <v>01 января 2020 г.</v>
      </c>
      <c r="I4" s="138"/>
      <c r="J4" s="138"/>
    </row>
    <row r="5" spans="1:10" s="7" customFormat="1" ht="12.75" customHeight="1" x14ac:dyDescent="0.35">
      <c r="A5" s="131"/>
      <c r="B5" s="131"/>
      <c r="C5" s="131"/>
      <c r="D5" s="139"/>
      <c r="E5" s="139"/>
      <c r="F5" s="5"/>
      <c r="G5" s="2"/>
      <c r="H5" s="138"/>
      <c r="I5" s="138"/>
      <c r="J5" s="138"/>
    </row>
    <row r="6" spans="1:10" s="7" customFormat="1" ht="6.4" customHeight="1" x14ac:dyDescent="0.35">
      <c r="B6" s="4"/>
      <c r="C6" s="2"/>
      <c r="D6" s="2"/>
      <c r="E6" s="2"/>
      <c r="F6" s="2"/>
      <c r="G6" s="2"/>
      <c r="H6" s="2"/>
      <c r="I6" s="2"/>
      <c r="J6" s="2"/>
    </row>
    <row r="7" spans="1:10" s="7" customFormat="1" ht="12.75" customHeight="1" x14ac:dyDescent="0.35">
      <c r="A7" s="134" t="s">
        <v>1</v>
      </c>
      <c r="B7" s="134"/>
      <c r="C7" s="143" t="str">
        <f>Дано!B6</f>
        <v>Навальный Алексей «ФБК»</v>
      </c>
      <c r="D7" s="143"/>
      <c r="E7" s="143"/>
      <c r="F7" s="143"/>
      <c r="G7" s="143"/>
      <c r="H7" s="143"/>
      <c r="I7" s="143"/>
      <c r="J7" s="143"/>
    </row>
    <row r="8" spans="1:10" s="7" customFormat="1" ht="6.4" customHeight="1" x14ac:dyDescent="0.35">
      <c r="B8" s="4"/>
      <c r="C8" s="6"/>
      <c r="D8" s="6"/>
      <c r="E8" s="6"/>
      <c r="F8" s="6"/>
      <c r="G8" s="2"/>
      <c r="H8" s="2"/>
      <c r="I8" s="2"/>
      <c r="J8" s="2"/>
    </row>
    <row r="9" spans="1:10" s="7" customFormat="1" ht="12.75" customHeight="1" x14ac:dyDescent="0.35">
      <c r="A9" s="134" t="s">
        <v>2</v>
      </c>
      <c r="B9" s="134"/>
      <c r="C9" s="143" t="str">
        <f>Дано!B3</f>
        <v>Договор №001-01/20 от 01 января 2020 г.</v>
      </c>
      <c r="D9" s="143"/>
      <c r="E9" s="143"/>
      <c r="F9" s="143"/>
      <c r="G9" s="143"/>
      <c r="H9" s="143"/>
      <c r="I9" s="143"/>
      <c r="J9" s="143"/>
    </row>
    <row r="10" spans="1:10" s="7" customFormat="1" ht="6.4" customHeight="1" x14ac:dyDescent="0.35">
      <c r="B10" s="4"/>
      <c r="C10" s="6"/>
      <c r="D10" s="6"/>
      <c r="E10" s="6"/>
      <c r="F10" s="6"/>
      <c r="G10" s="2"/>
      <c r="H10" s="2"/>
      <c r="I10" s="2"/>
      <c r="J10" s="2"/>
    </row>
    <row r="11" spans="1:10" s="7" customFormat="1" ht="12.75" customHeight="1" x14ac:dyDescent="0.35">
      <c r="A11" s="134" t="s">
        <v>3</v>
      </c>
      <c r="B11" s="134"/>
      <c r="C11" s="144" t="s">
        <v>12</v>
      </c>
      <c r="D11" s="144"/>
      <c r="E11" s="144"/>
      <c r="F11" s="144"/>
      <c r="G11" s="144"/>
      <c r="H11" s="144"/>
      <c r="I11" s="144"/>
      <c r="J11" s="144"/>
    </row>
    <row r="12" spans="1:10" s="7" customFormat="1" ht="12.75" customHeight="1" thickBot="1" x14ac:dyDescent="0.4">
      <c r="B12" s="2"/>
      <c r="C12" s="2"/>
      <c r="D12" s="2"/>
      <c r="E12" s="2"/>
      <c r="F12" s="2"/>
      <c r="G12" s="2"/>
      <c r="H12" s="2"/>
      <c r="I12" s="2"/>
      <c r="J12" s="2"/>
    </row>
    <row r="13" spans="1:10" s="7" customFormat="1" ht="12.75" customHeight="1" x14ac:dyDescent="0.35">
      <c r="A13" s="132" t="s">
        <v>4</v>
      </c>
      <c r="B13" s="135" t="s">
        <v>5</v>
      </c>
      <c r="C13" s="152" t="s">
        <v>6</v>
      </c>
      <c r="D13" s="152"/>
      <c r="E13" s="152"/>
      <c r="F13" s="152"/>
      <c r="G13" s="152" t="s">
        <v>10</v>
      </c>
      <c r="H13" s="152" t="s">
        <v>9</v>
      </c>
      <c r="I13" s="152" t="s">
        <v>8</v>
      </c>
      <c r="J13" s="150" t="s">
        <v>7</v>
      </c>
    </row>
    <row r="14" spans="1:10" s="7" customFormat="1" ht="12.75" customHeight="1" x14ac:dyDescent="0.35">
      <c r="A14" s="133"/>
      <c r="B14" s="136"/>
      <c r="C14" s="153"/>
      <c r="D14" s="153"/>
      <c r="E14" s="153"/>
      <c r="F14" s="153"/>
      <c r="G14" s="153"/>
      <c r="H14" s="153"/>
      <c r="I14" s="153"/>
      <c r="J14" s="151"/>
    </row>
    <row r="15" spans="1:10" s="7" customFormat="1" ht="12.75" customHeight="1" x14ac:dyDescent="0.35">
      <c r="A15" s="154">
        <v>1</v>
      </c>
      <c r="B15" s="156" t="s">
        <v>18</v>
      </c>
      <c r="C15" s="158" t="str">
        <f>"Экспертиза и оценка: "&amp;Дано!B16&amp;" "&amp;Дано!B17&amp;", "&amp;Дано!B18</f>
        <v>Экспертиза и оценка: Транспортное средство Subaru Outback, 08KG848ААА</v>
      </c>
      <c r="D15" s="159"/>
      <c r="E15" s="159"/>
      <c r="F15" s="160"/>
      <c r="G15" s="149" t="s">
        <v>258</v>
      </c>
      <c r="H15" s="149">
        <v>1</v>
      </c>
      <c r="I15" s="145">
        <f>Дано!B13</f>
        <v>2500</v>
      </c>
      <c r="J15" s="147">
        <f>I15*H15</f>
        <v>2500</v>
      </c>
    </row>
    <row r="16" spans="1:10" s="7" customFormat="1" ht="12.75" customHeight="1" x14ac:dyDescent="0.35">
      <c r="A16" s="155"/>
      <c r="B16" s="157"/>
      <c r="C16" s="161"/>
      <c r="D16" s="162"/>
      <c r="E16" s="162"/>
      <c r="F16" s="163"/>
      <c r="G16" s="136"/>
      <c r="H16" s="136"/>
      <c r="I16" s="146"/>
      <c r="J16" s="148"/>
    </row>
    <row r="17" spans="1:10" s="7" customFormat="1" ht="12.75" customHeight="1" thickBot="1" x14ac:dyDescent="0.4">
      <c r="A17" s="140" t="s">
        <v>259</v>
      </c>
      <c r="B17" s="141"/>
      <c r="C17" s="141"/>
      <c r="D17" s="141"/>
      <c r="E17" s="141"/>
      <c r="F17" s="141"/>
      <c r="G17" s="141"/>
      <c r="H17" s="141"/>
      <c r="I17" s="142"/>
      <c r="J17" s="10">
        <f>J15</f>
        <v>2500</v>
      </c>
    </row>
    <row r="18" spans="1:10" s="7" customFormat="1" ht="6.4" customHeight="1" x14ac:dyDescent="0.35">
      <c r="B18" s="4"/>
      <c r="C18" s="6"/>
      <c r="D18" s="6"/>
      <c r="E18" s="6"/>
      <c r="F18" s="6"/>
      <c r="G18" s="2"/>
      <c r="H18" s="2"/>
      <c r="I18" s="2"/>
      <c r="J18" s="2"/>
    </row>
    <row r="19" spans="1:10" s="7" customFormat="1" ht="12.75" customHeight="1" x14ac:dyDescent="0.35">
      <c r="A19" s="165" t="s">
        <v>13</v>
      </c>
      <c r="B19" s="165"/>
      <c r="C19" s="165"/>
      <c r="D19" s="165"/>
      <c r="E19" s="165"/>
      <c r="F19" s="165"/>
      <c r="G19" s="165"/>
      <c r="H19" s="165"/>
      <c r="I19" s="165"/>
      <c r="J19" s="165"/>
    </row>
    <row r="20" spans="1:10" s="7" customFormat="1" ht="6.4" customHeight="1" x14ac:dyDescent="0.35">
      <c r="B20" s="4"/>
      <c r="C20" s="6"/>
      <c r="D20" s="6"/>
      <c r="E20" s="6"/>
      <c r="F20" s="6"/>
      <c r="G20" s="2"/>
      <c r="H20" s="2"/>
      <c r="I20" s="2"/>
      <c r="J20" s="2"/>
    </row>
    <row r="21" spans="1:10" s="7" customFormat="1" ht="12.75" customHeight="1" x14ac:dyDescent="0.35">
      <c r="A21" s="165" t="s">
        <v>14</v>
      </c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s="7" customFormat="1" ht="12.75" customHeight="1" x14ac:dyDescent="0.35">
      <c r="B22" s="2"/>
      <c r="C22" s="2"/>
      <c r="D22" s="2"/>
      <c r="E22" s="2"/>
      <c r="F22" s="2"/>
      <c r="G22" s="2"/>
      <c r="H22" s="2"/>
      <c r="I22" s="2"/>
      <c r="J22" s="2"/>
    </row>
    <row r="23" spans="1:10" s="7" customFormat="1" x14ac:dyDescent="0.35">
      <c r="A23" s="134" t="s">
        <v>15</v>
      </c>
      <c r="B23" s="134"/>
      <c r="C23" s="166" t="str">
        <f>Дано!B14&amp;" сом, 00 тыйын"</f>
        <v>Две тысячи пятьсот сом, 00 тыйын</v>
      </c>
      <c r="D23" s="166"/>
      <c r="E23" s="166"/>
      <c r="F23" s="166"/>
      <c r="G23" s="166"/>
      <c r="H23" s="166"/>
      <c r="I23" s="166"/>
      <c r="J23" s="166"/>
    </row>
    <row r="24" spans="1:10" s="7" customFormat="1" x14ac:dyDescent="0.35">
      <c r="B24" s="2"/>
      <c r="C24" s="2"/>
      <c r="D24" s="2"/>
      <c r="E24" s="2"/>
      <c r="F24" s="2"/>
      <c r="G24" s="2"/>
      <c r="H24" s="2"/>
      <c r="I24" s="2"/>
      <c r="J24" s="2"/>
    </row>
    <row r="25" spans="1:10" s="7" customFormat="1" x14ac:dyDescent="0.35">
      <c r="B25" s="2"/>
      <c r="C25" s="2"/>
      <c r="D25" s="2"/>
      <c r="E25" s="2"/>
      <c r="F25" s="2"/>
      <c r="G25" s="2"/>
      <c r="H25" s="2"/>
      <c r="I25" s="2"/>
      <c r="J25" s="2"/>
    </row>
    <row r="26" spans="1:10" s="7" customFormat="1" x14ac:dyDescent="0.35">
      <c r="B26" s="2"/>
      <c r="C26" s="164" t="s">
        <v>17</v>
      </c>
      <c r="D26" s="164"/>
      <c r="E26" s="164"/>
      <c r="F26" s="164"/>
      <c r="G26" s="164"/>
      <c r="H26" s="164"/>
      <c r="I26" s="164"/>
      <c r="J26" s="164"/>
    </row>
    <row r="27" spans="1:10" s="7" customFormat="1" x14ac:dyDescent="0.35">
      <c r="B27" s="2"/>
      <c r="C27" s="2"/>
      <c r="D27" s="2"/>
      <c r="E27" s="2"/>
      <c r="F27" s="2"/>
      <c r="G27" s="2"/>
      <c r="H27" s="2"/>
      <c r="I27" s="2"/>
      <c r="J27" s="2"/>
    </row>
    <row r="28" spans="1:10" s="7" customFormat="1" x14ac:dyDescent="0.35">
      <c r="B28" s="8" t="s">
        <v>16</v>
      </c>
      <c r="C28" s="2"/>
      <c r="D28" s="2"/>
      <c r="E28" s="2"/>
      <c r="F28" s="2"/>
      <c r="G28" s="2"/>
      <c r="H28" s="2"/>
      <c r="I28" s="2"/>
      <c r="J28" s="2"/>
    </row>
    <row r="29" spans="1:10" s="7" customFormat="1" x14ac:dyDescent="0.35">
      <c r="B29" s="4"/>
      <c r="C29" s="6"/>
      <c r="D29" s="6"/>
      <c r="E29" s="6"/>
      <c r="F29" s="6"/>
      <c r="G29" s="2"/>
      <c r="H29" s="2"/>
      <c r="I29" s="2"/>
      <c r="J29" s="2"/>
    </row>
    <row r="30" spans="1:10" s="7" customFormat="1" x14ac:dyDescent="0.35">
      <c r="B30" s="8"/>
      <c r="C30" s="2"/>
      <c r="D30" s="2"/>
      <c r="E30" s="2"/>
      <c r="F30" s="2"/>
      <c r="G30" s="2"/>
      <c r="H30" s="2"/>
      <c r="I30" s="2"/>
      <c r="J30" s="2"/>
    </row>
    <row r="31" spans="1:10" s="7" customFormat="1" x14ac:dyDescent="0.35">
      <c r="B31" s="8"/>
      <c r="C31" s="2"/>
      <c r="D31" s="2"/>
      <c r="E31" s="2"/>
      <c r="F31" s="2"/>
      <c r="G31" s="2"/>
      <c r="H31" s="2"/>
      <c r="I31" s="2"/>
      <c r="J31" s="2"/>
    </row>
    <row r="32" spans="1:10" s="7" customFormat="1" x14ac:dyDescent="0.35">
      <c r="B32" s="75"/>
      <c r="C32" s="74"/>
      <c r="D32" s="74"/>
      <c r="E32" s="74"/>
      <c r="F32" s="74"/>
      <c r="G32" s="74"/>
      <c r="H32" s="74"/>
      <c r="I32" s="74"/>
      <c r="J32" s="74"/>
    </row>
    <row r="33" spans="1:10" s="7" customFormat="1" x14ac:dyDescent="0.35">
      <c r="B33" s="75"/>
      <c r="C33" s="74"/>
      <c r="D33" s="74"/>
      <c r="E33" s="74"/>
      <c r="F33" s="74"/>
      <c r="G33" s="74"/>
      <c r="H33" s="74"/>
      <c r="I33" s="74"/>
      <c r="J33" s="74"/>
    </row>
    <row r="34" spans="1:10" s="7" customFormat="1" x14ac:dyDescent="0.35">
      <c r="B34" s="75"/>
      <c r="C34" s="74"/>
      <c r="D34" s="74"/>
      <c r="E34" s="74"/>
      <c r="F34" s="74"/>
      <c r="G34" s="74"/>
      <c r="H34" s="74"/>
      <c r="I34" s="74"/>
      <c r="J34" s="74"/>
    </row>
    <row r="35" spans="1:10" s="7" customFormat="1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</row>
    <row r="36" spans="1:10" s="7" customFormat="1" x14ac:dyDescent="0.35">
      <c r="B36" s="75"/>
      <c r="C36" s="74"/>
      <c r="D36" s="74"/>
      <c r="E36" s="74"/>
      <c r="F36" s="74"/>
      <c r="G36" s="74"/>
      <c r="H36" s="74"/>
      <c r="I36" s="74"/>
      <c r="J36" s="74"/>
    </row>
    <row r="37" spans="1:10" s="7" customFormat="1" x14ac:dyDescent="0.35">
      <c r="B37" s="2"/>
      <c r="C37" s="2"/>
      <c r="D37" s="2"/>
      <c r="E37" s="2"/>
      <c r="F37" s="2"/>
      <c r="G37" s="2"/>
      <c r="H37" s="2"/>
      <c r="I37" s="2"/>
      <c r="J37" s="2"/>
    </row>
    <row r="38" spans="1:10" s="7" customFormat="1" ht="12.75" customHeight="1" x14ac:dyDescent="0.35">
      <c r="A38" s="130" t="str">
        <f>A1</f>
        <v>ОсОО "Первый Автосервис", г. Бишкек, ул. Атбашинская, 2/1; ИНН 01501201910391;
Р/с 1091805549830135; БЦФ ОАО «Оптима Банк»; БИК 109018; УГНС по Первомайскому району (004);
Тел. +996 (550) 560 220, +996 (706) 560 220, +996 (776) 560 220</v>
      </c>
      <c r="B38" s="130"/>
      <c r="C38" s="130"/>
      <c r="D38" s="130"/>
      <c r="E38" s="130"/>
      <c r="F38" s="130"/>
      <c r="G38" s="130"/>
      <c r="H38" s="130"/>
      <c r="I38" s="130"/>
      <c r="J38" s="130"/>
    </row>
    <row r="39" spans="1:10" s="7" customFormat="1" ht="12.75" customHeight="1" x14ac:dyDescent="0.35">
      <c r="A39" s="130"/>
      <c r="B39" s="130"/>
      <c r="C39" s="130"/>
      <c r="D39" s="130"/>
      <c r="E39" s="130"/>
      <c r="F39" s="130"/>
      <c r="G39" s="130"/>
      <c r="H39" s="130"/>
      <c r="I39" s="130"/>
      <c r="J39" s="130"/>
    </row>
    <row r="40" spans="1:10" s="7" customFormat="1" ht="12.75" customHeight="1" x14ac:dyDescent="0.35">
      <c r="A40" s="130"/>
      <c r="B40" s="130"/>
      <c r="C40" s="130"/>
      <c r="D40" s="130"/>
      <c r="E40" s="130"/>
      <c r="F40" s="130"/>
      <c r="G40" s="130"/>
      <c r="H40" s="130"/>
      <c r="I40" s="130"/>
      <c r="J40" s="130"/>
    </row>
    <row r="41" spans="1:10" s="7" customFormat="1" ht="12.75" customHeight="1" x14ac:dyDescent="0.35">
      <c r="A41" s="131" t="s">
        <v>0</v>
      </c>
      <c r="B41" s="131"/>
      <c r="C41" s="131"/>
      <c r="D41" s="139" t="str">
        <f>D4</f>
        <v>001-01/20</v>
      </c>
      <c r="E41" s="139"/>
      <c r="F41" s="5"/>
      <c r="G41" s="2"/>
      <c r="H41" s="167" t="str">
        <f>H4</f>
        <v>01 января 2020 г.</v>
      </c>
      <c r="I41" s="138"/>
      <c r="J41" s="138"/>
    </row>
    <row r="42" spans="1:10" s="7" customFormat="1" ht="12.75" customHeight="1" x14ac:dyDescent="0.35">
      <c r="A42" s="131"/>
      <c r="B42" s="131"/>
      <c r="C42" s="131"/>
      <c r="D42" s="139"/>
      <c r="E42" s="139"/>
      <c r="F42" s="5"/>
      <c r="G42" s="2"/>
      <c r="H42" s="138"/>
      <c r="I42" s="138"/>
      <c r="J42" s="138"/>
    </row>
    <row r="43" spans="1:10" s="7" customFormat="1" ht="6.4" customHeight="1" x14ac:dyDescent="0.35">
      <c r="B43" s="4"/>
      <c r="C43" s="2"/>
      <c r="D43" s="2"/>
      <c r="E43" s="2"/>
      <c r="F43" s="2"/>
      <c r="G43" s="2"/>
      <c r="H43" s="2"/>
      <c r="I43" s="2"/>
      <c r="J43" s="2"/>
    </row>
    <row r="44" spans="1:10" s="7" customFormat="1" ht="12.75" customHeight="1" x14ac:dyDescent="0.35">
      <c r="A44" s="134" t="s">
        <v>1</v>
      </c>
      <c r="B44" s="134"/>
      <c r="C44" s="143" t="str">
        <f>C7</f>
        <v>Навальный Алексей «ФБК»</v>
      </c>
      <c r="D44" s="143"/>
      <c r="E44" s="143"/>
      <c r="F44" s="143"/>
      <c r="G44" s="143"/>
      <c r="H44" s="143"/>
      <c r="I44" s="143"/>
      <c r="J44" s="143"/>
    </row>
    <row r="45" spans="1:10" s="7" customFormat="1" ht="6.4" customHeight="1" x14ac:dyDescent="0.35">
      <c r="B45" s="4"/>
      <c r="C45" s="6"/>
      <c r="D45" s="6"/>
      <c r="E45" s="6"/>
      <c r="F45" s="6"/>
      <c r="G45" s="2"/>
      <c r="H45" s="2"/>
      <c r="I45" s="2"/>
      <c r="J45" s="2"/>
    </row>
    <row r="46" spans="1:10" s="7" customFormat="1" ht="12.75" customHeight="1" x14ac:dyDescent="0.35">
      <c r="A46" s="134" t="s">
        <v>2</v>
      </c>
      <c r="B46" s="134"/>
      <c r="C46" s="143" t="str">
        <f>C9</f>
        <v>Договор №001-01/20 от 01 января 2020 г.</v>
      </c>
      <c r="D46" s="143"/>
      <c r="E46" s="143"/>
      <c r="F46" s="143"/>
      <c r="G46" s="143"/>
      <c r="H46" s="143"/>
      <c r="I46" s="143"/>
      <c r="J46" s="143"/>
    </row>
    <row r="47" spans="1:10" s="7" customFormat="1" ht="6.4" customHeight="1" x14ac:dyDescent="0.35">
      <c r="B47" s="4"/>
      <c r="C47" s="6"/>
      <c r="D47" s="6"/>
      <c r="E47" s="6"/>
      <c r="F47" s="6"/>
      <c r="G47" s="2"/>
      <c r="H47" s="2"/>
      <c r="I47" s="2"/>
      <c r="J47" s="2"/>
    </row>
    <row r="48" spans="1:10" s="7" customFormat="1" ht="12.75" customHeight="1" x14ac:dyDescent="0.35">
      <c r="A48" s="134" t="s">
        <v>3</v>
      </c>
      <c r="B48" s="134"/>
      <c r="C48" s="144" t="str">
        <f>C11</f>
        <v>____________________________________</v>
      </c>
      <c r="D48" s="144"/>
      <c r="E48" s="144"/>
      <c r="F48" s="144"/>
      <c r="G48" s="144"/>
      <c r="H48" s="144"/>
      <c r="I48" s="144"/>
      <c r="J48" s="144"/>
    </row>
    <row r="49" spans="1:10" s="7" customFormat="1" ht="12.75" customHeight="1" thickBot="1" x14ac:dyDescent="0.4">
      <c r="B49" s="2"/>
      <c r="C49" s="2"/>
      <c r="D49" s="2"/>
      <c r="E49" s="2"/>
      <c r="F49" s="2"/>
      <c r="G49" s="2"/>
      <c r="H49" s="2"/>
      <c r="I49" s="2"/>
      <c r="J49" s="2"/>
    </row>
    <row r="50" spans="1:10" s="7" customFormat="1" ht="12.75" customHeight="1" x14ac:dyDescent="0.35">
      <c r="A50" s="132" t="s">
        <v>4</v>
      </c>
      <c r="B50" s="135" t="s">
        <v>5</v>
      </c>
      <c r="C50" s="152" t="s">
        <v>6</v>
      </c>
      <c r="D50" s="152"/>
      <c r="E50" s="152"/>
      <c r="F50" s="152"/>
      <c r="G50" s="152" t="s">
        <v>10</v>
      </c>
      <c r="H50" s="152" t="s">
        <v>9</v>
      </c>
      <c r="I50" s="152" t="s">
        <v>8</v>
      </c>
      <c r="J50" s="150" t="s">
        <v>7</v>
      </c>
    </row>
    <row r="51" spans="1:10" s="7" customFormat="1" ht="12.75" customHeight="1" x14ac:dyDescent="0.35">
      <c r="A51" s="133"/>
      <c r="B51" s="136"/>
      <c r="C51" s="153"/>
      <c r="D51" s="153"/>
      <c r="E51" s="153"/>
      <c r="F51" s="153"/>
      <c r="G51" s="153"/>
      <c r="H51" s="153"/>
      <c r="I51" s="153"/>
      <c r="J51" s="151"/>
    </row>
    <row r="52" spans="1:10" s="7" customFormat="1" ht="12.75" customHeight="1" x14ac:dyDescent="0.35">
      <c r="A52" s="154">
        <v>1</v>
      </c>
      <c r="B52" s="168" t="str">
        <f>B15</f>
        <v>00001</v>
      </c>
      <c r="C52" s="158" t="str">
        <f>C15</f>
        <v>Экспертиза и оценка: Транспортное средство Subaru Outback, 08KG848ААА</v>
      </c>
      <c r="D52" s="159"/>
      <c r="E52" s="159"/>
      <c r="F52" s="160"/>
      <c r="G52" s="149" t="str">
        <f>G15</f>
        <v>шт.</v>
      </c>
      <c r="H52" s="149">
        <f>H15</f>
        <v>1</v>
      </c>
      <c r="I52" s="145">
        <f>I15</f>
        <v>2500</v>
      </c>
      <c r="J52" s="147">
        <f>I52*H52</f>
        <v>2500</v>
      </c>
    </row>
    <row r="53" spans="1:10" s="7" customFormat="1" ht="12.75" customHeight="1" x14ac:dyDescent="0.35">
      <c r="A53" s="155"/>
      <c r="B53" s="136"/>
      <c r="C53" s="161"/>
      <c r="D53" s="162"/>
      <c r="E53" s="162"/>
      <c r="F53" s="163"/>
      <c r="G53" s="136"/>
      <c r="H53" s="136"/>
      <c r="I53" s="146"/>
      <c r="J53" s="148"/>
    </row>
    <row r="54" spans="1:10" s="7" customFormat="1" ht="12.75" customHeight="1" thickBot="1" x14ac:dyDescent="0.4">
      <c r="A54" s="140" t="s">
        <v>259</v>
      </c>
      <c r="B54" s="141"/>
      <c r="C54" s="141"/>
      <c r="D54" s="141"/>
      <c r="E54" s="141"/>
      <c r="F54" s="141"/>
      <c r="G54" s="141"/>
      <c r="H54" s="141"/>
      <c r="I54" s="142"/>
      <c r="J54" s="10">
        <f>J52</f>
        <v>2500</v>
      </c>
    </row>
    <row r="55" spans="1:10" s="7" customFormat="1" ht="6.4" customHeight="1" x14ac:dyDescent="0.35">
      <c r="B55" s="4"/>
      <c r="C55" s="6"/>
      <c r="D55" s="6"/>
      <c r="E55" s="6"/>
      <c r="F55" s="6"/>
      <c r="G55" s="2"/>
      <c r="H55" s="2"/>
      <c r="I55" s="2"/>
      <c r="J55" s="2"/>
    </row>
    <row r="56" spans="1:10" s="7" customFormat="1" ht="12.75" customHeight="1" x14ac:dyDescent="0.35">
      <c r="A56" s="165" t="s">
        <v>13</v>
      </c>
      <c r="B56" s="165"/>
      <c r="C56" s="165"/>
      <c r="D56" s="165"/>
      <c r="E56" s="165"/>
      <c r="F56" s="165"/>
      <c r="G56" s="165"/>
      <c r="H56" s="165"/>
      <c r="I56" s="165"/>
      <c r="J56" s="165"/>
    </row>
    <row r="57" spans="1:10" s="7" customFormat="1" ht="6.4" customHeight="1" x14ac:dyDescent="0.35">
      <c r="B57" s="4"/>
      <c r="C57" s="6"/>
      <c r="D57" s="6"/>
      <c r="E57" s="6"/>
      <c r="F57" s="6"/>
      <c r="G57" s="2"/>
      <c r="H57" s="2"/>
      <c r="I57" s="2"/>
      <c r="J57" s="2"/>
    </row>
    <row r="58" spans="1:10" s="7" customFormat="1" ht="12.75" customHeight="1" x14ac:dyDescent="0.35">
      <c r="A58" s="165" t="s">
        <v>14</v>
      </c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" customFormat="1" ht="12.75" customHeight="1" x14ac:dyDescent="0.35">
      <c r="B59" s="2"/>
      <c r="C59" s="2"/>
      <c r="D59" s="2"/>
      <c r="E59" s="2"/>
      <c r="F59" s="2"/>
      <c r="G59" s="2"/>
      <c r="H59" s="2"/>
      <c r="I59" s="2"/>
      <c r="J59" s="2"/>
    </row>
    <row r="60" spans="1:10" s="7" customFormat="1" x14ac:dyDescent="0.35">
      <c r="A60" s="134" t="s">
        <v>15</v>
      </c>
      <c r="B60" s="134"/>
      <c r="C60" s="166" t="str">
        <f>C23</f>
        <v>Две тысячи пятьсот сом, 00 тыйын</v>
      </c>
      <c r="D60" s="166"/>
      <c r="E60" s="166"/>
      <c r="F60" s="166"/>
      <c r="G60" s="166"/>
      <c r="H60" s="166"/>
      <c r="I60" s="166"/>
      <c r="J60" s="166"/>
    </row>
    <row r="61" spans="1:10" s="7" customFormat="1" x14ac:dyDescent="0.35">
      <c r="B61" s="2"/>
      <c r="C61" s="2"/>
      <c r="D61" s="2"/>
      <c r="E61" s="2"/>
      <c r="F61" s="2"/>
      <c r="G61" s="2"/>
      <c r="H61" s="2"/>
      <c r="I61" s="2"/>
      <c r="J61" s="2"/>
    </row>
    <row r="62" spans="1:10" s="7" customFormat="1" x14ac:dyDescent="0.35">
      <c r="B62" s="2"/>
      <c r="C62" s="2"/>
      <c r="D62" s="2"/>
      <c r="E62" s="2"/>
      <c r="F62" s="2"/>
      <c r="G62" s="2"/>
      <c r="H62" s="2"/>
      <c r="I62" s="2"/>
      <c r="J62" s="2"/>
    </row>
    <row r="63" spans="1:10" s="7" customFormat="1" x14ac:dyDescent="0.35">
      <c r="B63" s="2"/>
      <c r="C63" s="164" t="s">
        <v>17</v>
      </c>
      <c r="D63" s="164"/>
      <c r="E63" s="164"/>
      <c r="F63" s="164"/>
      <c r="G63" s="164"/>
      <c r="H63" s="164"/>
      <c r="I63" s="164"/>
      <c r="J63" s="164"/>
    </row>
    <row r="64" spans="1:10" s="7" customFormat="1" x14ac:dyDescent="0.35">
      <c r="B64" s="2"/>
      <c r="C64" s="2"/>
      <c r="D64" s="2"/>
      <c r="E64" s="2"/>
      <c r="F64" s="2"/>
      <c r="G64" s="2"/>
      <c r="H64" s="2"/>
      <c r="I64" s="2"/>
      <c r="J64" s="2"/>
    </row>
    <row r="65" spans="1:10" s="7" customFormat="1" x14ac:dyDescent="0.35">
      <c r="B65" s="8" t="s">
        <v>16</v>
      </c>
      <c r="C65" s="2"/>
      <c r="D65" s="2"/>
      <c r="E65" s="2"/>
      <c r="F65" s="2"/>
      <c r="G65" s="2"/>
      <c r="H65" s="2"/>
      <c r="I65" s="2"/>
      <c r="J65" s="2"/>
    </row>
    <row r="66" spans="1:10" s="7" customFormat="1" x14ac:dyDescent="0.35">
      <c r="B66" s="2"/>
      <c r="C66" s="2"/>
      <c r="D66" s="2"/>
      <c r="E66" s="2"/>
      <c r="F66" s="2"/>
      <c r="G66" s="2"/>
      <c r="H66" s="2"/>
      <c r="I66" s="2"/>
      <c r="J66" s="2"/>
    </row>
    <row r="67" spans="1:10" s="7" customFormat="1" x14ac:dyDescent="0.35">
      <c r="B67" s="2"/>
      <c r="C67" s="2"/>
      <c r="D67" s="2"/>
      <c r="E67" s="2"/>
      <c r="F67" s="2"/>
      <c r="G67" s="2"/>
      <c r="H67" s="2"/>
      <c r="I67" s="2"/>
      <c r="J67" s="2"/>
    </row>
    <row r="68" spans="1:10" s="7" customForma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s="7" customForma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s="7" customFormat="1" x14ac:dyDescent="0.35">
      <c r="B70" s="8"/>
      <c r="C70" s="2"/>
      <c r="D70" s="2"/>
      <c r="E70" s="2"/>
      <c r="F70" s="2"/>
      <c r="G70" s="2"/>
      <c r="H70" s="2"/>
      <c r="I70" s="2"/>
      <c r="J70" s="2"/>
    </row>
    <row r="71" spans="1:10" s="7" customFormat="1" x14ac:dyDescent="0.35">
      <c r="B71" s="8"/>
      <c r="C71" s="2"/>
      <c r="D71" s="2"/>
      <c r="E71" s="2"/>
      <c r="F71" s="2"/>
      <c r="G71" s="2"/>
      <c r="H71" s="2"/>
      <c r="I71" s="2"/>
      <c r="J71" s="2"/>
    </row>
    <row r="72" spans="1:10" s="7" customFormat="1" x14ac:dyDescent="0.35">
      <c r="B72" s="8"/>
      <c r="C72" s="2"/>
      <c r="D72" s="2"/>
      <c r="E72" s="2"/>
      <c r="F72" s="2"/>
      <c r="G72" s="2"/>
      <c r="H72" s="2"/>
      <c r="I72" s="2"/>
      <c r="J72" s="2"/>
    </row>
    <row r="73" spans="1:10" s="7" customFormat="1" x14ac:dyDescent="0.35">
      <c r="B73" s="8"/>
      <c r="C73" s="2"/>
      <c r="D73" s="2"/>
      <c r="E73" s="2"/>
      <c r="F73" s="2"/>
      <c r="G73" s="2"/>
      <c r="H73" s="2"/>
      <c r="I73" s="2"/>
      <c r="J73" s="2"/>
    </row>
    <row r="74" spans="1:10" s="7" customFormat="1" x14ac:dyDescent="0.35">
      <c r="B74" s="8"/>
      <c r="C74" s="2"/>
      <c r="D74" s="2"/>
      <c r="E74" s="2"/>
      <c r="F74" s="2"/>
      <c r="G74" s="2"/>
      <c r="H74" s="2"/>
      <c r="I74" s="2"/>
      <c r="J74" s="2"/>
    </row>
    <row r="75" spans="1:10" s="7" customFormat="1" x14ac:dyDescent="0.35">
      <c r="B75" s="2"/>
      <c r="C75" s="2"/>
      <c r="D75" s="2"/>
      <c r="E75" s="2"/>
      <c r="F75" s="2"/>
      <c r="G75" s="2"/>
      <c r="H75" s="2"/>
      <c r="I75" s="2"/>
      <c r="J75" s="2"/>
    </row>
    <row r="76" spans="1:10" s="7" customFormat="1" x14ac:dyDescent="0.35">
      <c r="B76" s="2"/>
      <c r="C76" s="2"/>
      <c r="D76" s="2"/>
      <c r="E76" s="2"/>
      <c r="F76" s="2"/>
      <c r="G76" s="2"/>
      <c r="H76" s="2"/>
      <c r="I76" s="2"/>
      <c r="J76" s="2"/>
    </row>
    <row r="77" spans="1:10" s="7" customFormat="1" x14ac:dyDescent="0.35">
      <c r="B77" s="2"/>
      <c r="C77" s="2"/>
      <c r="D77" s="2"/>
      <c r="E77" s="2"/>
      <c r="F77" s="2"/>
      <c r="G77" s="2"/>
      <c r="H77" s="2"/>
      <c r="I77" s="2"/>
      <c r="J77" s="2"/>
    </row>
    <row r="78" spans="1:10" s="7" customFormat="1" x14ac:dyDescent="0.35">
      <c r="B78" s="8"/>
      <c r="C78" s="2"/>
      <c r="D78" s="2"/>
      <c r="E78" s="2"/>
      <c r="F78" s="2"/>
      <c r="G78" s="2"/>
      <c r="H78" s="2"/>
      <c r="I78" s="2"/>
      <c r="J78" s="2"/>
    </row>
    <row r="79" spans="1:10" s="7" customFormat="1" x14ac:dyDescent="0.35">
      <c r="B79" s="8"/>
      <c r="C79" s="2"/>
      <c r="D79" s="2"/>
      <c r="E79" s="2"/>
      <c r="F79" s="2"/>
      <c r="G79" s="2"/>
      <c r="H79" s="2"/>
      <c r="I79" s="2"/>
      <c r="J79" s="2"/>
    </row>
    <row r="80" spans="1:10" s="7" customFormat="1" x14ac:dyDescent="0.35">
      <c r="B80" s="8"/>
      <c r="C80" s="2"/>
      <c r="D80" s="2"/>
      <c r="E80" s="2"/>
      <c r="F80" s="2"/>
      <c r="G80" s="2"/>
      <c r="H80" s="2"/>
      <c r="I80" s="2"/>
      <c r="J80" s="2"/>
    </row>
    <row r="81" spans="1:10" s="7" customFormat="1" x14ac:dyDescent="0.35">
      <c r="B81" s="8"/>
      <c r="C81" s="2"/>
      <c r="D81" s="2"/>
      <c r="E81" s="2"/>
      <c r="F81" s="2"/>
      <c r="G81" s="2"/>
      <c r="H81" s="2"/>
      <c r="I81" s="2"/>
      <c r="J81" s="2"/>
    </row>
    <row r="82" spans="1:10" s="7" customFormat="1" x14ac:dyDescent="0.35">
      <c r="B82" s="8"/>
      <c r="C82" s="2"/>
      <c r="D82" s="2"/>
      <c r="E82" s="2"/>
      <c r="F82" s="2"/>
      <c r="G82" s="2"/>
      <c r="H82" s="2"/>
      <c r="I82" s="2"/>
      <c r="J82" s="2"/>
    </row>
    <row r="83" spans="1:10" s="7" customFormat="1" x14ac:dyDescent="0.35">
      <c r="B83" s="2"/>
      <c r="C83" s="2"/>
      <c r="D83" s="2"/>
      <c r="E83" s="2"/>
      <c r="F83" s="2"/>
      <c r="G83" s="2"/>
      <c r="H83" s="2"/>
      <c r="I83" s="2"/>
      <c r="J83" s="2"/>
    </row>
    <row r="84" spans="1:10" s="7" customFormat="1" x14ac:dyDescent="0.35">
      <c r="B84" s="2"/>
      <c r="C84" s="2"/>
      <c r="D84" s="2"/>
      <c r="E84" s="2"/>
      <c r="F84" s="2"/>
      <c r="G84" s="2"/>
      <c r="H84" s="2"/>
      <c r="I84" s="2"/>
      <c r="J84" s="2"/>
    </row>
    <row r="85" spans="1:10" s="7" customFormat="1" x14ac:dyDescent="0.35">
      <c r="B85" s="2"/>
      <c r="C85" s="2"/>
      <c r="D85" s="2"/>
      <c r="E85" s="2"/>
      <c r="F85" s="2"/>
      <c r="G85" s="2"/>
      <c r="H85" s="2"/>
      <c r="I85" s="2"/>
      <c r="J85" s="2"/>
    </row>
    <row r="86" spans="1:10" s="7" customFormat="1" x14ac:dyDescent="0.35">
      <c r="B86" s="3"/>
      <c r="C86" s="3"/>
      <c r="D86" s="3"/>
      <c r="E86" s="3"/>
      <c r="F86" s="3"/>
      <c r="G86" s="3"/>
      <c r="H86" s="3"/>
      <c r="I86" s="3"/>
      <c r="J86" s="3"/>
    </row>
    <row r="87" spans="1:10" s="9" customFormat="1" ht="6.6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B96" s="2"/>
      <c r="C96" s="2"/>
      <c r="D96" s="2"/>
      <c r="E96" s="2"/>
      <c r="F96" s="2"/>
      <c r="G96" s="2"/>
      <c r="H96" s="2"/>
      <c r="I96" s="2"/>
      <c r="J96" s="2"/>
    </row>
    <row r="97" spans="2:10" x14ac:dyDescent="0.3">
      <c r="B97" s="2"/>
      <c r="C97" s="2"/>
      <c r="D97" s="2"/>
      <c r="E97" s="2"/>
      <c r="F97" s="2"/>
      <c r="G97" s="2"/>
      <c r="H97" s="2"/>
      <c r="I97" s="2"/>
      <c r="J97" s="2"/>
    </row>
    <row r="98" spans="2:10" x14ac:dyDescent="0.3">
      <c r="B98" s="2"/>
      <c r="C98" s="2"/>
      <c r="D98" s="2"/>
      <c r="E98" s="2"/>
      <c r="F98" s="2"/>
      <c r="G98" s="2"/>
      <c r="H98" s="2"/>
      <c r="I98" s="2"/>
      <c r="J98" s="2"/>
    </row>
    <row r="99" spans="2:10" x14ac:dyDescent="0.3">
      <c r="B99" s="2"/>
      <c r="C99" s="2"/>
      <c r="D99" s="2"/>
      <c r="E99" s="2"/>
      <c r="F99" s="2"/>
      <c r="G99" s="2"/>
      <c r="H99" s="2"/>
      <c r="I99" s="2"/>
      <c r="J99" s="2"/>
    </row>
    <row r="100" spans="2:10" x14ac:dyDescent="0.3">
      <c r="B100" s="2"/>
      <c r="C100" s="2"/>
      <c r="D100" s="2"/>
      <c r="E100" s="2"/>
      <c r="F100" s="2"/>
      <c r="G100" s="2"/>
      <c r="H100" s="2"/>
      <c r="I100" s="2"/>
      <c r="J100" s="2"/>
    </row>
    <row r="101" spans="2:10" x14ac:dyDescent="0.3">
      <c r="B101" s="2"/>
      <c r="C101" s="2"/>
      <c r="D101" s="2"/>
      <c r="E101" s="2"/>
      <c r="F101" s="2"/>
      <c r="G101" s="2"/>
      <c r="H101" s="2"/>
      <c r="I101" s="2"/>
      <c r="J101" s="2"/>
    </row>
    <row r="102" spans="2:10" x14ac:dyDescent="0.3">
      <c r="B102" s="2"/>
      <c r="C102" s="2"/>
      <c r="D102" s="2"/>
      <c r="E102" s="2"/>
      <c r="F102" s="2"/>
      <c r="G102" s="2"/>
      <c r="H102" s="2"/>
      <c r="I102" s="2"/>
      <c r="J102" s="2"/>
    </row>
    <row r="103" spans="2:10" x14ac:dyDescent="0.3">
      <c r="B103" s="2"/>
      <c r="C103" s="2"/>
      <c r="D103" s="2"/>
      <c r="E103" s="2"/>
      <c r="F103" s="2"/>
      <c r="G103" s="2"/>
      <c r="H103" s="2"/>
      <c r="I103" s="2"/>
      <c r="J103" s="2"/>
    </row>
    <row r="104" spans="2:10" x14ac:dyDescent="0.3">
      <c r="B104" s="2"/>
      <c r="C104" s="2"/>
      <c r="D104" s="2"/>
      <c r="E104" s="2"/>
      <c r="F104" s="2"/>
      <c r="G104" s="2"/>
      <c r="H104" s="2"/>
      <c r="I104" s="2"/>
      <c r="J104" s="2"/>
    </row>
    <row r="105" spans="2:10" x14ac:dyDescent="0.3">
      <c r="B105" s="2"/>
      <c r="C105" s="2"/>
      <c r="D105" s="2"/>
      <c r="E105" s="2"/>
      <c r="F105" s="2"/>
      <c r="G105" s="2"/>
      <c r="H105" s="2"/>
      <c r="I105" s="2"/>
      <c r="J105" s="2"/>
    </row>
    <row r="106" spans="2:10" x14ac:dyDescent="0.3">
      <c r="B106" s="2"/>
      <c r="C106" s="2"/>
      <c r="D106" s="2"/>
      <c r="E106" s="2"/>
      <c r="F106" s="2"/>
      <c r="G106" s="2"/>
      <c r="H106" s="2"/>
      <c r="I106" s="2"/>
      <c r="J106" s="2"/>
    </row>
    <row r="107" spans="2:10" x14ac:dyDescent="0.3">
      <c r="B107" s="2"/>
      <c r="C107" s="2"/>
      <c r="D107" s="2"/>
      <c r="E107" s="2"/>
      <c r="F107" s="2"/>
      <c r="G107" s="2"/>
      <c r="H107" s="2"/>
      <c r="I107" s="2"/>
      <c r="J107" s="2"/>
    </row>
    <row r="108" spans="2:10" x14ac:dyDescent="0.3">
      <c r="B108" s="2"/>
      <c r="C108" s="2"/>
      <c r="D108" s="2"/>
      <c r="E108" s="2"/>
      <c r="F108" s="2"/>
      <c r="G108" s="2"/>
      <c r="H108" s="2"/>
      <c r="I108" s="2"/>
      <c r="J108" s="2"/>
    </row>
    <row r="109" spans="2:10" x14ac:dyDescent="0.3">
      <c r="B109" s="2"/>
      <c r="C109" s="2"/>
      <c r="D109" s="2"/>
      <c r="E109" s="2"/>
      <c r="F109" s="2"/>
      <c r="G109" s="2"/>
      <c r="H109" s="2"/>
      <c r="I109" s="2"/>
      <c r="J109" s="2"/>
    </row>
    <row r="110" spans="2:10" x14ac:dyDescent="0.3">
      <c r="B110" s="2"/>
      <c r="C110" s="2"/>
      <c r="D110" s="2"/>
      <c r="E110" s="2"/>
      <c r="F110" s="2"/>
      <c r="G110" s="2"/>
      <c r="H110" s="2"/>
      <c r="I110" s="2"/>
      <c r="J110" s="2"/>
    </row>
    <row r="111" spans="2:10" x14ac:dyDescent="0.3">
      <c r="B111" s="2"/>
      <c r="C111" s="2"/>
      <c r="D111" s="2"/>
      <c r="E111" s="2"/>
      <c r="F111" s="2"/>
      <c r="G111" s="2"/>
      <c r="H111" s="2"/>
      <c r="I111" s="2"/>
      <c r="J111" s="2"/>
    </row>
    <row r="112" spans="2:10" x14ac:dyDescent="0.3">
      <c r="B112" s="2"/>
      <c r="C112" s="2"/>
      <c r="D112" s="2"/>
      <c r="E112" s="2"/>
      <c r="F112" s="2"/>
      <c r="G112" s="2"/>
      <c r="H112" s="2"/>
      <c r="I112" s="2"/>
      <c r="J112" s="2"/>
    </row>
    <row r="113" spans="2:10" x14ac:dyDescent="0.3">
      <c r="B113" s="2"/>
      <c r="C113" s="2"/>
      <c r="D113" s="2"/>
      <c r="E113" s="2"/>
      <c r="F113" s="2"/>
      <c r="G113" s="2"/>
      <c r="H113" s="2"/>
      <c r="I113" s="2"/>
      <c r="J113" s="2"/>
    </row>
    <row r="114" spans="2:10" x14ac:dyDescent="0.3">
      <c r="B114" s="2"/>
      <c r="C114" s="2"/>
      <c r="D114" s="2"/>
      <c r="E114" s="2"/>
      <c r="F114" s="2"/>
      <c r="G114" s="2"/>
      <c r="H114" s="2"/>
      <c r="I114" s="2"/>
      <c r="J114" s="2"/>
    </row>
    <row r="115" spans="2:10" x14ac:dyDescent="0.3">
      <c r="B115" s="2"/>
      <c r="C115" s="2"/>
      <c r="D115" s="2"/>
      <c r="E115" s="2"/>
      <c r="F115" s="2"/>
      <c r="G115" s="2"/>
      <c r="H115" s="2"/>
      <c r="I115" s="2"/>
      <c r="J115" s="2"/>
    </row>
    <row r="116" spans="2:10" x14ac:dyDescent="0.3">
      <c r="B116" s="2"/>
      <c r="C116" s="2"/>
      <c r="D116" s="2"/>
      <c r="E116" s="2"/>
      <c r="F116" s="2"/>
      <c r="G116" s="2"/>
      <c r="H116" s="2"/>
      <c r="I116" s="2"/>
      <c r="J116" s="2"/>
    </row>
    <row r="117" spans="2:10" x14ac:dyDescent="0.3">
      <c r="B117" s="2"/>
      <c r="C117" s="2"/>
      <c r="D117" s="2"/>
      <c r="E117" s="2"/>
      <c r="F117" s="2"/>
      <c r="G117" s="2"/>
      <c r="H117" s="2"/>
      <c r="I117" s="2"/>
      <c r="J117" s="2"/>
    </row>
    <row r="118" spans="2:10" x14ac:dyDescent="0.3">
      <c r="B118" s="2"/>
      <c r="C118" s="2"/>
      <c r="D118" s="2"/>
      <c r="E118" s="2"/>
      <c r="F118" s="2"/>
      <c r="G118" s="2"/>
      <c r="H118" s="2"/>
      <c r="I118" s="2"/>
      <c r="J118" s="2"/>
    </row>
    <row r="119" spans="2:10" x14ac:dyDescent="0.3">
      <c r="B119" s="2"/>
      <c r="C119" s="2"/>
      <c r="D119" s="2"/>
      <c r="E119" s="2"/>
      <c r="F119" s="2"/>
      <c r="G119" s="2"/>
      <c r="H119" s="2"/>
      <c r="I119" s="2"/>
      <c r="J119" s="2"/>
    </row>
    <row r="120" spans="2:10" x14ac:dyDescent="0.3">
      <c r="B120" s="2"/>
      <c r="C120" s="2"/>
      <c r="D120" s="2"/>
      <c r="E120" s="2"/>
      <c r="F120" s="2"/>
      <c r="G120" s="2"/>
      <c r="H120" s="2"/>
      <c r="I120" s="2"/>
      <c r="J120" s="2"/>
    </row>
    <row r="121" spans="2:10" x14ac:dyDescent="0.3">
      <c r="B121" s="2"/>
      <c r="C121" s="2"/>
      <c r="D121" s="2"/>
      <c r="E121" s="2"/>
      <c r="F121" s="2"/>
      <c r="G121" s="2"/>
      <c r="H121" s="2"/>
      <c r="I121" s="2"/>
      <c r="J121" s="2"/>
    </row>
    <row r="122" spans="2:10" x14ac:dyDescent="0.3">
      <c r="B122" s="2"/>
      <c r="C122" s="2"/>
      <c r="D122" s="2"/>
      <c r="E122" s="2"/>
      <c r="F122" s="2"/>
      <c r="G122" s="2"/>
      <c r="H122" s="2"/>
      <c r="I122" s="2"/>
      <c r="J122" s="2"/>
    </row>
    <row r="123" spans="2:10" x14ac:dyDescent="0.3">
      <c r="B123" s="2"/>
      <c r="C123" s="2"/>
      <c r="D123" s="2"/>
      <c r="E123" s="2"/>
      <c r="F123" s="2"/>
      <c r="G123" s="2"/>
      <c r="H123" s="2"/>
      <c r="I123" s="2"/>
      <c r="J123" s="2"/>
    </row>
  </sheetData>
  <mergeCells count="60">
    <mergeCell ref="C63:J63"/>
    <mergeCell ref="J50:J51"/>
    <mergeCell ref="A52:A53"/>
    <mergeCell ref="B52:B53"/>
    <mergeCell ref="C52:F53"/>
    <mergeCell ref="G52:G53"/>
    <mergeCell ref="H52:H53"/>
    <mergeCell ref="I52:I53"/>
    <mergeCell ref="J52:J53"/>
    <mergeCell ref="A54:I54"/>
    <mergeCell ref="A56:J56"/>
    <mergeCell ref="A58:J58"/>
    <mergeCell ref="A60:B60"/>
    <mergeCell ref="C60:J60"/>
    <mergeCell ref="A46:B46"/>
    <mergeCell ref="C46:J46"/>
    <mergeCell ref="A48:B48"/>
    <mergeCell ref="C48:J48"/>
    <mergeCell ref="A50:A51"/>
    <mergeCell ref="B50:B51"/>
    <mergeCell ref="C50:F51"/>
    <mergeCell ref="G50:G51"/>
    <mergeCell ref="H50:H51"/>
    <mergeCell ref="I50:I51"/>
    <mergeCell ref="A38:J40"/>
    <mergeCell ref="A41:C42"/>
    <mergeCell ref="H41:J42"/>
    <mergeCell ref="A44:B44"/>
    <mergeCell ref="C44:J44"/>
    <mergeCell ref="D41:E42"/>
    <mergeCell ref="C26:J26"/>
    <mergeCell ref="A19:J19"/>
    <mergeCell ref="A21:J21"/>
    <mergeCell ref="A23:B23"/>
    <mergeCell ref="C23:J23"/>
    <mergeCell ref="A17:I17"/>
    <mergeCell ref="C9:J9"/>
    <mergeCell ref="C7:J7"/>
    <mergeCell ref="C11:J11"/>
    <mergeCell ref="I15:I16"/>
    <mergeCell ref="J15:J16"/>
    <mergeCell ref="G15:G16"/>
    <mergeCell ref="H15:H16"/>
    <mergeCell ref="J13:J14"/>
    <mergeCell ref="I13:I14"/>
    <mergeCell ref="H13:H14"/>
    <mergeCell ref="G13:G14"/>
    <mergeCell ref="A15:A16"/>
    <mergeCell ref="C13:F14"/>
    <mergeCell ref="B15:B16"/>
    <mergeCell ref="C15:F16"/>
    <mergeCell ref="A1:J3"/>
    <mergeCell ref="A4:C5"/>
    <mergeCell ref="A13:A14"/>
    <mergeCell ref="A7:B7"/>
    <mergeCell ref="A9:B9"/>
    <mergeCell ref="A11:B11"/>
    <mergeCell ref="B13:B14"/>
    <mergeCell ref="H4:J5"/>
    <mergeCell ref="D4:E5"/>
  </mergeCells>
  <pageMargins left="0.39370078740157483" right="0.39370078740157483" top="0.39370078740157483" bottom="0.39370078740157483" header="0" footer="0"/>
  <pageSetup paperSize="9" scale="9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19"/>
  <sheetViews>
    <sheetView view="pageBreakPreview" zoomScaleNormal="100" zoomScaleSheetLayoutView="100" workbookViewId="0">
      <selection activeCell="H4" sqref="H4:J5"/>
    </sheetView>
  </sheetViews>
  <sheetFormatPr defaultColWidth="9.26953125" defaultRowHeight="13" x14ac:dyDescent="0.3"/>
  <cols>
    <col min="1" max="1" width="3.26953125" style="1" customWidth="1"/>
    <col min="2" max="10" width="10.26953125" style="1" customWidth="1"/>
    <col min="11" max="16384" width="9.26953125" style="1"/>
  </cols>
  <sheetData>
    <row r="1" spans="1:10" s="7" customFormat="1" ht="12.75" customHeight="1" x14ac:dyDescent="0.35">
      <c r="A1" s="130" t="str">
        <f>счёт!A1</f>
        <v>ОсОО "Первый Автосервис", г. Бишкек, ул. Атбашинская, 2/1; ИНН 01501201910391;
Р/с 1091805549830135; БЦФ ОАО «Оптима Банк»; БИК 109018; УГНС по Первомайскому району (004);
Тел. +996 (550) 560 220, +996 (706) 560 220, +996 (776) 560 220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s="7" customFormat="1" ht="12.75" customHeight="1" x14ac:dyDescent="0.35">
      <c r="A2" s="130"/>
      <c r="B2" s="130"/>
      <c r="C2" s="130"/>
      <c r="D2" s="130"/>
      <c r="E2" s="130"/>
      <c r="F2" s="130"/>
      <c r="G2" s="130"/>
      <c r="H2" s="130"/>
      <c r="I2" s="130"/>
      <c r="J2" s="130"/>
    </row>
    <row r="3" spans="1:10" s="7" customFormat="1" ht="12.75" customHeight="1" x14ac:dyDescent="0.35">
      <c r="A3" s="130"/>
      <c r="B3" s="130"/>
      <c r="C3" s="130"/>
      <c r="D3" s="130"/>
      <c r="E3" s="130"/>
      <c r="F3" s="130"/>
      <c r="G3" s="130"/>
      <c r="H3" s="130"/>
      <c r="I3" s="130"/>
      <c r="J3" s="130"/>
    </row>
    <row r="4" spans="1:10" s="7" customFormat="1" ht="12.75" customHeight="1" x14ac:dyDescent="0.35">
      <c r="A4" s="131" t="s">
        <v>19</v>
      </c>
      <c r="B4" s="131"/>
      <c r="C4" s="131"/>
      <c r="D4" s="170" t="str">
        <f>счёт!D4</f>
        <v>001-01/20</v>
      </c>
      <c r="E4" s="170"/>
      <c r="F4" s="5"/>
      <c r="G4" s="2"/>
      <c r="H4" s="169" t="str">
        <f>счёт!H4</f>
        <v>01 января 2020 г.</v>
      </c>
      <c r="I4" s="169"/>
      <c r="J4" s="169"/>
    </row>
    <row r="5" spans="1:10" s="7" customFormat="1" ht="12.75" customHeight="1" x14ac:dyDescent="0.35">
      <c r="A5" s="131"/>
      <c r="B5" s="131"/>
      <c r="C5" s="131"/>
      <c r="D5" s="170"/>
      <c r="E5" s="170"/>
      <c r="F5" s="5"/>
      <c r="G5" s="2"/>
      <c r="H5" s="169"/>
      <c r="I5" s="169"/>
      <c r="J5" s="169"/>
    </row>
    <row r="6" spans="1:10" s="7" customFormat="1" ht="6.4" customHeight="1" x14ac:dyDescent="0.35">
      <c r="B6" s="4"/>
      <c r="C6" s="2"/>
      <c r="D6" s="2"/>
      <c r="E6" s="2"/>
      <c r="F6" s="2"/>
      <c r="G6" s="2"/>
      <c r="H6" s="2"/>
      <c r="I6" s="2"/>
      <c r="J6" s="2"/>
    </row>
    <row r="7" spans="1:10" s="7" customFormat="1" ht="12.75" customHeight="1" x14ac:dyDescent="0.35">
      <c r="A7" s="134" t="s">
        <v>1</v>
      </c>
      <c r="B7" s="134"/>
      <c r="C7" s="143" t="str">
        <f>счёт!C7</f>
        <v>Навальный Алексей «ФБК»</v>
      </c>
      <c r="D7" s="143"/>
      <c r="E7" s="143"/>
      <c r="F7" s="143"/>
      <c r="G7" s="143"/>
      <c r="H7" s="143"/>
      <c r="I7" s="143"/>
      <c r="J7" s="143"/>
    </row>
    <row r="8" spans="1:10" s="7" customFormat="1" ht="6.4" customHeight="1" x14ac:dyDescent="0.35">
      <c r="B8" s="4"/>
      <c r="C8" s="6"/>
      <c r="D8" s="6"/>
      <c r="E8" s="6"/>
      <c r="F8" s="6"/>
      <c r="G8" s="2"/>
      <c r="H8" s="2"/>
      <c r="I8" s="2"/>
      <c r="J8" s="2"/>
    </row>
    <row r="9" spans="1:10" s="7" customFormat="1" ht="12.75" customHeight="1" x14ac:dyDescent="0.35">
      <c r="A9" s="134" t="s">
        <v>2</v>
      </c>
      <c r="B9" s="134"/>
      <c r="C9" s="143" t="str">
        <f>счёт!C9</f>
        <v>Договор №001-01/20 от 01 января 2020 г.</v>
      </c>
      <c r="D9" s="143"/>
      <c r="E9" s="143"/>
      <c r="F9" s="143"/>
      <c r="G9" s="143"/>
      <c r="H9" s="143"/>
      <c r="I9" s="143"/>
      <c r="J9" s="143"/>
    </row>
    <row r="10" spans="1:10" s="7" customFormat="1" ht="6.4" customHeight="1" x14ac:dyDescent="0.35">
      <c r="B10" s="4"/>
      <c r="C10" s="6"/>
      <c r="D10" s="6"/>
      <c r="E10" s="6"/>
      <c r="F10" s="6"/>
      <c r="G10" s="2"/>
      <c r="H10" s="2"/>
      <c r="I10" s="2"/>
      <c r="J10" s="2"/>
    </row>
    <row r="11" spans="1:10" s="7" customFormat="1" ht="12.75" customHeight="1" x14ac:dyDescent="0.35">
      <c r="A11" s="134" t="s">
        <v>3</v>
      </c>
      <c r="B11" s="134"/>
      <c r="C11" s="144" t="s">
        <v>12</v>
      </c>
      <c r="D11" s="144"/>
      <c r="E11" s="144"/>
      <c r="F11" s="144"/>
      <c r="G11" s="144"/>
      <c r="H11" s="144"/>
      <c r="I11" s="144"/>
      <c r="J11" s="144"/>
    </row>
    <row r="12" spans="1:10" s="7" customFormat="1" ht="12.75" customHeight="1" thickBot="1" x14ac:dyDescent="0.4">
      <c r="B12" s="2"/>
      <c r="C12" s="2"/>
      <c r="D12" s="2"/>
      <c r="E12" s="2"/>
      <c r="F12" s="2"/>
      <c r="G12" s="2"/>
      <c r="H12" s="2"/>
      <c r="I12" s="2"/>
      <c r="J12" s="2"/>
    </row>
    <row r="13" spans="1:10" s="7" customFormat="1" ht="12.75" customHeight="1" x14ac:dyDescent="0.35">
      <c r="A13" s="171" t="s">
        <v>4</v>
      </c>
      <c r="B13" s="173" t="s">
        <v>5</v>
      </c>
      <c r="C13" s="175" t="s">
        <v>6</v>
      </c>
      <c r="D13" s="175"/>
      <c r="E13" s="175"/>
      <c r="F13" s="175"/>
      <c r="G13" s="175" t="s">
        <v>10</v>
      </c>
      <c r="H13" s="175" t="s">
        <v>9</v>
      </c>
      <c r="I13" s="175" t="s">
        <v>8</v>
      </c>
      <c r="J13" s="177" t="s">
        <v>7</v>
      </c>
    </row>
    <row r="14" spans="1:10" s="7" customFormat="1" ht="12.75" customHeight="1" x14ac:dyDescent="0.35">
      <c r="A14" s="172"/>
      <c r="B14" s="174"/>
      <c r="C14" s="176"/>
      <c r="D14" s="176"/>
      <c r="E14" s="176"/>
      <c r="F14" s="176"/>
      <c r="G14" s="176"/>
      <c r="H14" s="176"/>
      <c r="I14" s="176"/>
      <c r="J14" s="178"/>
    </row>
    <row r="15" spans="1:10" s="7" customFormat="1" ht="12.75" customHeight="1" x14ac:dyDescent="0.35">
      <c r="A15" s="154">
        <v>1</v>
      </c>
      <c r="B15" s="156" t="str">
        <f>счёт!B15:B16</f>
        <v>00001</v>
      </c>
      <c r="C15" s="158" t="str">
        <f>счёт!C15</f>
        <v>Экспертиза и оценка: Транспортное средство Subaru Outback, 08KG848ААА</v>
      </c>
      <c r="D15" s="159"/>
      <c r="E15" s="159"/>
      <c r="F15" s="160"/>
      <c r="G15" s="149" t="s">
        <v>258</v>
      </c>
      <c r="H15" s="149">
        <f>счёт!H15</f>
        <v>1</v>
      </c>
      <c r="I15" s="145">
        <f>счёт!I15</f>
        <v>2500</v>
      </c>
      <c r="J15" s="147">
        <f>I15*H15</f>
        <v>2500</v>
      </c>
    </row>
    <row r="16" spans="1:10" s="7" customFormat="1" ht="12.75" customHeight="1" x14ac:dyDescent="0.35">
      <c r="A16" s="155"/>
      <c r="B16" s="157"/>
      <c r="C16" s="161"/>
      <c r="D16" s="162"/>
      <c r="E16" s="162"/>
      <c r="F16" s="163"/>
      <c r="G16" s="136"/>
      <c r="H16" s="136"/>
      <c r="I16" s="146"/>
      <c r="J16" s="148"/>
    </row>
    <row r="17" spans="1:10" s="7" customFormat="1" ht="12.75" customHeight="1" thickBot="1" x14ac:dyDescent="0.4">
      <c r="A17" s="179" t="s">
        <v>259</v>
      </c>
      <c r="B17" s="180"/>
      <c r="C17" s="180"/>
      <c r="D17" s="180"/>
      <c r="E17" s="180"/>
      <c r="F17" s="180"/>
      <c r="G17" s="180"/>
      <c r="H17" s="180"/>
      <c r="I17" s="181"/>
      <c r="J17" s="13">
        <f>J15</f>
        <v>2500</v>
      </c>
    </row>
    <row r="18" spans="1:10" s="7" customFormat="1" ht="6.4" customHeight="1" x14ac:dyDescent="0.35">
      <c r="B18" s="4"/>
      <c r="C18" s="6"/>
      <c r="D18" s="6"/>
      <c r="E18" s="6"/>
      <c r="F18" s="6"/>
      <c r="G18" s="2"/>
      <c r="H18" s="2"/>
      <c r="I18" s="2"/>
      <c r="J18" s="2"/>
    </row>
    <row r="19" spans="1:10" s="7" customFormat="1" ht="12.75" customHeight="1" x14ac:dyDescent="0.35">
      <c r="A19" s="165" t="s">
        <v>13</v>
      </c>
      <c r="B19" s="165"/>
      <c r="C19" s="165"/>
      <c r="D19" s="165"/>
      <c r="E19" s="165"/>
      <c r="F19" s="165"/>
      <c r="G19" s="165"/>
      <c r="H19" s="165"/>
      <c r="I19" s="165"/>
      <c r="J19" s="165"/>
    </row>
    <row r="20" spans="1:10" s="7" customFormat="1" ht="6.4" customHeight="1" x14ac:dyDescent="0.35">
      <c r="B20" s="4"/>
      <c r="C20" s="6"/>
      <c r="D20" s="6"/>
      <c r="E20" s="6"/>
      <c r="F20" s="6"/>
      <c r="G20" s="2"/>
      <c r="H20" s="2"/>
      <c r="I20" s="2"/>
      <c r="J20" s="2"/>
    </row>
    <row r="21" spans="1:10" s="7" customFormat="1" ht="12.75" customHeight="1" x14ac:dyDescent="0.35">
      <c r="A21" s="165" t="s">
        <v>14</v>
      </c>
      <c r="B21" s="165"/>
      <c r="C21" s="165"/>
      <c r="D21" s="165"/>
      <c r="E21" s="165"/>
      <c r="F21" s="165"/>
      <c r="G21" s="165"/>
      <c r="H21" s="165"/>
      <c r="I21" s="165"/>
      <c r="J21" s="165"/>
    </row>
    <row r="22" spans="1:10" s="7" customFormat="1" ht="12.75" customHeight="1" x14ac:dyDescent="0.35">
      <c r="B22" s="2"/>
      <c r="C22" s="2"/>
      <c r="D22" s="2"/>
      <c r="E22" s="2"/>
      <c r="F22" s="2"/>
      <c r="G22" s="2"/>
      <c r="H22" s="2"/>
      <c r="I22" s="2"/>
      <c r="J22" s="2"/>
    </row>
    <row r="23" spans="1:10" s="7" customFormat="1" x14ac:dyDescent="0.35">
      <c r="A23" s="134" t="s">
        <v>15</v>
      </c>
      <c r="B23" s="134"/>
      <c r="C23" s="166" t="str">
        <f>счёт!C23</f>
        <v>Две тысячи пятьсот сом, 00 тыйын</v>
      </c>
      <c r="D23" s="166"/>
      <c r="E23" s="166"/>
      <c r="F23" s="166"/>
      <c r="G23" s="166"/>
      <c r="H23" s="166"/>
      <c r="I23" s="166"/>
      <c r="J23" s="166"/>
    </row>
    <row r="24" spans="1:10" s="7" customFormat="1" x14ac:dyDescent="0.35">
      <c r="B24" s="2"/>
      <c r="C24" s="2"/>
      <c r="D24" s="2"/>
      <c r="E24" s="2"/>
      <c r="F24" s="2"/>
      <c r="G24" s="2"/>
      <c r="H24" s="2"/>
      <c r="I24" s="2"/>
      <c r="J24" s="2"/>
    </row>
    <row r="25" spans="1:10" s="7" customFormat="1" x14ac:dyDescent="0.35">
      <c r="B25" s="2"/>
      <c r="C25" s="2"/>
      <c r="D25" s="2"/>
      <c r="E25" s="2"/>
      <c r="F25" s="2"/>
      <c r="G25" s="2"/>
      <c r="H25" s="2"/>
      <c r="I25" s="2"/>
      <c r="J25" s="2"/>
    </row>
    <row r="26" spans="1:10" s="7" customFormat="1" x14ac:dyDescent="0.35">
      <c r="B26" s="2"/>
      <c r="C26" s="164" t="s">
        <v>17</v>
      </c>
      <c r="D26" s="164"/>
      <c r="E26" s="164"/>
      <c r="F26" s="164"/>
      <c r="G26" s="164"/>
      <c r="H26" s="164"/>
      <c r="I26" s="164"/>
      <c r="J26" s="164"/>
    </row>
    <row r="27" spans="1:10" s="7" customFormat="1" x14ac:dyDescent="0.35">
      <c r="B27" s="2"/>
      <c r="C27" s="2"/>
      <c r="D27" s="2"/>
      <c r="E27" s="2"/>
      <c r="F27" s="2"/>
      <c r="G27" s="2"/>
      <c r="H27" s="2"/>
      <c r="I27" s="2"/>
      <c r="J27" s="2"/>
    </row>
    <row r="28" spans="1:10" s="7" customFormat="1" x14ac:dyDescent="0.35">
      <c r="B28" s="8" t="s">
        <v>16</v>
      </c>
      <c r="C28" s="2"/>
      <c r="D28" s="2"/>
      <c r="E28" s="2"/>
      <c r="F28" s="2"/>
      <c r="G28" s="2"/>
      <c r="H28" s="2"/>
      <c r="I28" s="2"/>
      <c r="J28" s="2"/>
    </row>
    <row r="29" spans="1:10" s="7" customFormat="1" x14ac:dyDescent="0.35">
      <c r="B29" s="4"/>
      <c r="C29" s="6"/>
      <c r="D29" s="6"/>
      <c r="E29" s="6"/>
      <c r="F29" s="6"/>
      <c r="G29" s="2"/>
      <c r="H29" s="2"/>
      <c r="I29" s="2"/>
      <c r="J29" s="2"/>
    </row>
    <row r="30" spans="1:10" s="7" customFormat="1" x14ac:dyDescent="0.35">
      <c r="B30" s="8"/>
      <c r="C30" s="2"/>
      <c r="D30" s="2"/>
      <c r="E30" s="2"/>
      <c r="F30" s="2"/>
      <c r="G30" s="2"/>
      <c r="H30" s="2"/>
      <c r="I30" s="2"/>
      <c r="J30" s="2"/>
    </row>
    <row r="31" spans="1:10" s="7" customFormat="1" x14ac:dyDescent="0.35">
      <c r="B31" s="8"/>
      <c r="C31" s="2"/>
      <c r="D31" s="2"/>
      <c r="E31" s="2"/>
      <c r="F31" s="2"/>
      <c r="G31" s="2"/>
      <c r="H31" s="2"/>
      <c r="I31" s="2"/>
      <c r="J31" s="2"/>
    </row>
    <row r="32" spans="1:10" s="7" customFormat="1" x14ac:dyDescent="0.35">
      <c r="B32" s="2"/>
      <c r="C32" s="2"/>
      <c r="D32" s="2"/>
      <c r="E32" s="2"/>
      <c r="F32" s="2"/>
      <c r="G32" s="2"/>
      <c r="H32" s="2"/>
      <c r="I32" s="2"/>
      <c r="J32" s="2"/>
    </row>
    <row r="33" spans="1:10" s="7" customFormat="1" x14ac:dyDescent="0.35">
      <c r="B33" s="2"/>
      <c r="C33" s="2"/>
      <c r="D33" s="2"/>
      <c r="E33" s="2"/>
      <c r="F33" s="2"/>
      <c r="G33" s="2"/>
      <c r="H33" s="2"/>
      <c r="I33" s="2"/>
      <c r="J33" s="2"/>
    </row>
    <row r="34" spans="1:10" s="7" customFormat="1" x14ac:dyDescent="0.35">
      <c r="B34" s="2"/>
      <c r="C34" s="2"/>
      <c r="D34" s="2"/>
      <c r="E34" s="2"/>
      <c r="F34" s="2"/>
      <c r="G34" s="2"/>
      <c r="H34" s="2"/>
      <c r="I34" s="2"/>
      <c r="J34" s="2"/>
    </row>
    <row r="35" spans="1:10" s="7" customFormat="1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</row>
    <row r="36" spans="1:10" s="7" customForma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s="7" customForma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s="7" customFormat="1" ht="12.75" customHeight="1" x14ac:dyDescent="0.35">
      <c r="A38" s="130" t="str">
        <f>A1</f>
        <v>ОсОО "Первый Автосервис", г. Бишкек, ул. Атбашинская, 2/1; ИНН 01501201910391;
Р/с 1091805549830135; БЦФ ОАО «Оптима Банк»; БИК 109018; УГНС по Первомайскому району (004);
Тел. +996 (550) 560 220, +996 (706) 560 220, +996 (776) 560 220</v>
      </c>
      <c r="B38" s="130"/>
      <c r="C38" s="130"/>
      <c r="D38" s="130"/>
      <c r="E38" s="130"/>
      <c r="F38" s="130"/>
      <c r="G38" s="130"/>
      <c r="H38" s="130"/>
      <c r="I38" s="130"/>
      <c r="J38" s="130"/>
    </row>
    <row r="39" spans="1:10" s="7" customFormat="1" ht="12.75" customHeight="1" x14ac:dyDescent="0.35">
      <c r="A39" s="130"/>
      <c r="B39" s="130"/>
      <c r="C39" s="130"/>
      <c r="D39" s="130"/>
      <c r="E39" s="130"/>
      <c r="F39" s="130"/>
      <c r="G39" s="130"/>
      <c r="H39" s="130"/>
      <c r="I39" s="130"/>
      <c r="J39" s="130"/>
    </row>
    <row r="40" spans="1:10" s="7" customFormat="1" ht="12.75" customHeight="1" x14ac:dyDescent="0.35">
      <c r="A40" s="130"/>
      <c r="B40" s="130"/>
      <c r="C40" s="130"/>
      <c r="D40" s="130"/>
      <c r="E40" s="130"/>
      <c r="F40" s="130"/>
      <c r="G40" s="130"/>
      <c r="H40" s="130"/>
      <c r="I40" s="130"/>
      <c r="J40" s="130"/>
    </row>
    <row r="41" spans="1:10" s="7" customFormat="1" ht="12.75" customHeight="1" x14ac:dyDescent="0.35">
      <c r="A41" s="131" t="s">
        <v>19</v>
      </c>
      <c r="B41" s="131"/>
      <c r="C41" s="131"/>
      <c r="D41" s="139" t="str">
        <f>D4</f>
        <v>001-01/20</v>
      </c>
      <c r="E41" s="139"/>
      <c r="F41" s="5"/>
      <c r="G41" s="2"/>
      <c r="H41" s="169" t="str">
        <f>H4</f>
        <v>01 января 2020 г.</v>
      </c>
      <c r="I41" s="169"/>
      <c r="J41" s="169"/>
    </row>
    <row r="42" spans="1:10" s="7" customFormat="1" ht="12.75" customHeight="1" x14ac:dyDescent="0.35">
      <c r="A42" s="131"/>
      <c r="B42" s="131"/>
      <c r="C42" s="131"/>
      <c r="D42" s="139"/>
      <c r="E42" s="139"/>
      <c r="F42" s="5"/>
      <c r="G42" s="2"/>
      <c r="H42" s="169"/>
      <c r="I42" s="169"/>
      <c r="J42" s="169"/>
    </row>
    <row r="43" spans="1:10" s="7" customFormat="1" ht="6.4" customHeight="1" x14ac:dyDescent="0.35">
      <c r="B43" s="4"/>
      <c r="C43" s="2"/>
      <c r="D43" s="2"/>
      <c r="E43" s="2"/>
      <c r="F43" s="2"/>
      <c r="G43" s="2"/>
      <c r="H43" s="2"/>
      <c r="I43" s="2"/>
      <c r="J43" s="2"/>
    </row>
    <row r="44" spans="1:10" s="7" customFormat="1" ht="12.75" customHeight="1" x14ac:dyDescent="0.35">
      <c r="A44" s="134" t="s">
        <v>1</v>
      </c>
      <c r="B44" s="134"/>
      <c r="C44" s="143" t="str">
        <f>C7</f>
        <v>Навальный Алексей «ФБК»</v>
      </c>
      <c r="D44" s="143"/>
      <c r="E44" s="143"/>
      <c r="F44" s="143"/>
      <c r="G44" s="143"/>
      <c r="H44" s="143"/>
      <c r="I44" s="143"/>
      <c r="J44" s="143"/>
    </row>
    <row r="45" spans="1:10" s="7" customFormat="1" ht="6.4" customHeight="1" x14ac:dyDescent="0.35">
      <c r="B45" s="4"/>
      <c r="C45" s="6"/>
      <c r="D45" s="6"/>
      <c r="E45" s="6"/>
      <c r="F45" s="6"/>
      <c r="G45" s="2"/>
      <c r="H45" s="2"/>
      <c r="I45" s="2"/>
      <c r="J45" s="2"/>
    </row>
    <row r="46" spans="1:10" s="7" customFormat="1" ht="12.75" customHeight="1" x14ac:dyDescent="0.35">
      <c r="A46" s="134" t="s">
        <v>2</v>
      </c>
      <c r="B46" s="134"/>
      <c r="C46" s="143" t="str">
        <f>C9</f>
        <v>Договор №001-01/20 от 01 января 2020 г.</v>
      </c>
      <c r="D46" s="143"/>
      <c r="E46" s="143"/>
      <c r="F46" s="143"/>
      <c r="G46" s="143"/>
      <c r="H46" s="143"/>
      <c r="I46" s="143"/>
      <c r="J46" s="143"/>
    </row>
    <row r="47" spans="1:10" s="7" customFormat="1" ht="6.4" customHeight="1" x14ac:dyDescent="0.35">
      <c r="B47" s="4"/>
      <c r="C47" s="6"/>
      <c r="D47" s="6"/>
      <c r="E47" s="6"/>
      <c r="F47" s="6"/>
      <c r="G47" s="2"/>
      <c r="H47" s="2"/>
      <c r="I47" s="2"/>
      <c r="J47" s="2"/>
    </row>
    <row r="48" spans="1:10" s="7" customFormat="1" ht="12.75" customHeight="1" x14ac:dyDescent="0.35">
      <c r="A48" s="134" t="s">
        <v>3</v>
      </c>
      <c r="B48" s="134"/>
      <c r="C48" s="144" t="str">
        <f>C11</f>
        <v>____________________________________</v>
      </c>
      <c r="D48" s="144"/>
      <c r="E48" s="144"/>
      <c r="F48" s="144"/>
      <c r="G48" s="144"/>
      <c r="H48" s="144"/>
      <c r="I48" s="144"/>
      <c r="J48" s="144"/>
    </row>
    <row r="49" spans="1:10" s="7" customFormat="1" ht="12.75" customHeight="1" thickBot="1" x14ac:dyDescent="0.4">
      <c r="B49" s="2"/>
      <c r="C49" s="2"/>
      <c r="D49" s="2"/>
      <c r="E49" s="2"/>
      <c r="F49" s="2"/>
      <c r="G49" s="2"/>
      <c r="H49" s="2"/>
      <c r="I49" s="2"/>
      <c r="J49" s="2"/>
    </row>
    <row r="50" spans="1:10" s="7" customFormat="1" ht="12.75" customHeight="1" x14ac:dyDescent="0.35">
      <c r="A50" s="171" t="s">
        <v>4</v>
      </c>
      <c r="B50" s="173" t="s">
        <v>5</v>
      </c>
      <c r="C50" s="175" t="s">
        <v>6</v>
      </c>
      <c r="D50" s="175"/>
      <c r="E50" s="175"/>
      <c r="F50" s="175"/>
      <c r="G50" s="175" t="s">
        <v>10</v>
      </c>
      <c r="H50" s="175" t="s">
        <v>9</v>
      </c>
      <c r="I50" s="175" t="s">
        <v>8</v>
      </c>
      <c r="J50" s="177" t="s">
        <v>7</v>
      </c>
    </row>
    <row r="51" spans="1:10" s="7" customFormat="1" ht="12.75" customHeight="1" x14ac:dyDescent="0.35">
      <c r="A51" s="172"/>
      <c r="B51" s="174"/>
      <c r="C51" s="176"/>
      <c r="D51" s="176"/>
      <c r="E51" s="176"/>
      <c r="F51" s="176"/>
      <c r="G51" s="176"/>
      <c r="H51" s="176"/>
      <c r="I51" s="176"/>
      <c r="J51" s="178"/>
    </row>
    <row r="52" spans="1:10" s="7" customFormat="1" ht="12.75" customHeight="1" x14ac:dyDescent="0.35">
      <c r="A52" s="154">
        <v>1</v>
      </c>
      <c r="B52" s="168" t="str">
        <f>B15</f>
        <v>00001</v>
      </c>
      <c r="C52" s="158" t="str">
        <f>C15</f>
        <v>Экспертиза и оценка: Транспортное средство Subaru Outback, 08KG848ААА</v>
      </c>
      <c r="D52" s="159"/>
      <c r="E52" s="159"/>
      <c r="F52" s="160"/>
      <c r="G52" s="149" t="str">
        <f>G15</f>
        <v>шт.</v>
      </c>
      <c r="H52" s="149">
        <f>H15</f>
        <v>1</v>
      </c>
      <c r="I52" s="145">
        <f>I15</f>
        <v>2500</v>
      </c>
      <c r="J52" s="147">
        <f>I52*H52</f>
        <v>2500</v>
      </c>
    </row>
    <row r="53" spans="1:10" s="7" customFormat="1" ht="12.75" customHeight="1" x14ac:dyDescent="0.35">
      <c r="A53" s="155"/>
      <c r="B53" s="136"/>
      <c r="C53" s="161"/>
      <c r="D53" s="162"/>
      <c r="E53" s="162"/>
      <c r="F53" s="163"/>
      <c r="G53" s="136"/>
      <c r="H53" s="136"/>
      <c r="I53" s="146"/>
      <c r="J53" s="148"/>
    </row>
    <row r="54" spans="1:10" s="7" customFormat="1" ht="12.75" customHeight="1" thickBot="1" x14ac:dyDescent="0.4">
      <c r="A54" s="179" t="s">
        <v>259</v>
      </c>
      <c r="B54" s="180"/>
      <c r="C54" s="180"/>
      <c r="D54" s="180"/>
      <c r="E54" s="180"/>
      <c r="F54" s="180"/>
      <c r="G54" s="180"/>
      <c r="H54" s="180"/>
      <c r="I54" s="181"/>
      <c r="J54" s="13">
        <f>J52</f>
        <v>2500</v>
      </c>
    </row>
    <row r="55" spans="1:10" s="7" customFormat="1" ht="6.4" customHeight="1" x14ac:dyDescent="0.35">
      <c r="B55" s="4"/>
      <c r="C55" s="6"/>
      <c r="D55" s="6"/>
      <c r="E55" s="6"/>
      <c r="F55" s="6"/>
      <c r="G55" s="2"/>
      <c r="H55" s="2"/>
      <c r="I55" s="2"/>
      <c r="J55" s="2"/>
    </row>
    <row r="56" spans="1:10" s="7" customFormat="1" ht="12.75" customHeight="1" x14ac:dyDescent="0.35">
      <c r="A56" s="165" t="s">
        <v>13</v>
      </c>
      <c r="B56" s="165"/>
      <c r="C56" s="165"/>
      <c r="D56" s="165"/>
      <c r="E56" s="165"/>
      <c r="F56" s="165"/>
      <c r="G56" s="165"/>
      <c r="H56" s="165"/>
      <c r="I56" s="165"/>
      <c r="J56" s="165"/>
    </row>
    <row r="57" spans="1:10" s="7" customFormat="1" ht="6.4" customHeight="1" x14ac:dyDescent="0.35">
      <c r="B57" s="4"/>
      <c r="C57" s="6"/>
      <c r="D57" s="6"/>
      <c r="E57" s="6"/>
      <c r="F57" s="6"/>
      <c r="G57" s="2"/>
      <c r="H57" s="2"/>
      <c r="I57" s="2"/>
      <c r="J57" s="2"/>
    </row>
    <row r="58" spans="1:10" s="7" customFormat="1" ht="12.75" customHeight="1" x14ac:dyDescent="0.35">
      <c r="A58" s="165" t="s">
        <v>14</v>
      </c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 s="7" customFormat="1" ht="12.75" customHeight="1" x14ac:dyDescent="0.35">
      <c r="B59" s="2"/>
      <c r="C59" s="2"/>
      <c r="D59" s="2"/>
      <c r="E59" s="2"/>
      <c r="F59" s="2"/>
      <c r="G59" s="2"/>
      <c r="H59" s="2"/>
      <c r="I59" s="2"/>
      <c r="J59" s="2"/>
    </row>
    <row r="60" spans="1:10" s="7" customFormat="1" x14ac:dyDescent="0.35">
      <c r="A60" s="134" t="s">
        <v>15</v>
      </c>
      <c r="B60" s="134"/>
      <c r="C60" s="166" t="str">
        <f>C23</f>
        <v>Две тысячи пятьсот сом, 00 тыйын</v>
      </c>
      <c r="D60" s="166"/>
      <c r="E60" s="166"/>
      <c r="F60" s="166"/>
      <c r="G60" s="166"/>
      <c r="H60" s="166"/>
      <c r="I60" s="166"/>
      <c r="J60" s="166"/>
    </row>
    <row r="61" spans="1:10" s="7" customFormat="1" x14ac:dyDescent="0.35">
      <c r="B61" s="2"/>
      <c r="C61" s="2"/>
      <c r="D61" s="2"/>
      <c r="E61" s="2"/>
      <c r="F61" s="2"/>
      <c r="G61" s="2"/>
      <c r="H61" s="2"/>
      <c r="I61" s="2"/>
      <c r="J61" s="2"/>
    </row>
    <row r="62" spans="1:10" s="7" customFormat="1" x14ac:dyDescent="0.35">
      <c r="B62" s="2"/>
      <c r="C62" s="2"/>
      <c r="D62" s="2"/>
      <c r="E62" s="2"/>
      <c r="F62" s="2"/>
      <c r="G62" s="2"/>
      <c r="H62" s="2"/>
      <c r="I62" s="2"/>
      <c r="J62" s="2"/>
    </row>
    <row r="63" spans="1:10" s="7" customFormat="1" x14ac:dyDescent="0.35">
      <c r="B63" s="2"/>
      <c r="C63" s="164" t="s">
        <v>17</v>
      </c>
      <c r="D63" s="164"/>
      <c r="E63" s="164"/>
      <c r="F63" s="164"/>
      <c r="G63" s="164"/>
      <c r="H63" s="164"/>
      <c r="I63" s="164"/>
      <c r="J63" s="164"/>
    </row>
    <row r="64" spans="1:10" s="7" customFormat="1" x14ac:dyDescent="0.35">
      <c r="B64" s="2"/>
      <c r="C64" s="2"/>
      <c r="D64" s="2"/>
      <c r="E64" s="2"/>
      <c r="F64" s="2"/>
      <c r="G64" s="2"/>
      <c r="H64" s="2"/>
      <c r="I64" s="2"/>
      <c r="J64" s="2"/>
    </row>
    <row r="65" spans="2:10" s="7" customFormat="1" x14ac:dyDescent="0.35">
      <c r="B65" s="8" t="s">
        <v>16</v>
      </c>
      <c r="C65" s="2"/>
      <c r="D65" s="2"/>
      <c r="E65" s="2"/>
      <c r="F65" s="2"/>
      <c r="G65" s="2"/>
      <c r="H65" s="2"/>
      <c r="I65" s="2"/>
      <c r="J65" s="2"/>
    </row>
    <row r="66" spans="2:10" s="7" customFormat="1" x14ac:dyDescent="0.35">
      <c r="B66" s="8"/>
      <c r="C66" s="2"/>
      <c r="D66" s="2"/>
      <c r="E66" s="2"/>
      <c r="F66" s="2"/>
      <c r="G66" s="2"/>
      <c r="H66" s="2"/>
      <c r="I66" s="2"/>
      <c r="J66" s="2"/>
    </row>
    <row r="67" spans="2:10" s="7" customFormat="1" x14ac:dyDescent="0.35">
      <c r="B67" s="8"/>
      <c r="C67" s="2"/>
      <c r="D67" s="2"/>
      <c r="E67" s="2"/>
      <c r="F67" s="2"/>
      <c r="G67" s="2"/>
      <c r="H67" s="2"/>
      <c r="I67" s="2"/>
      <c r="J67" s="2"/>
    </row>
    <row r="68" spans="2:10" s="7" customFormat="1" x14ac:dyDescent="0.35">
      <c r="B68" s="8"/>
      <c r="C68" s="2"/>
      <c r="D68" s="2"/>
      <c r="E68" s="2"/>
      <c r="F68" s="2"/>
      <c r="G68" s="2"/>
      <c r="H68" s="2"/>
      <c r="I68" s="2"/>
      <c r="J68" s="2"/>
    </row>
    <row r="69" spans="2:10" s="7" customFormat="1" x14ac:dyDescent="0.35">
      <c r="B69" s="8"/>
      <c r="C69" s="2"/>
      <c r="D69" s="2"/>
      <c r="E69" s="2"/>
      <c r="F69" s="2"/>
      <c r="G69" s="2"/>
      <c r="H69" s="2"/>
      <c r="I69" s="2"/>
      <c r="J69" s="2"/>
    </row>
    <row r="70" spans="2:10" s="7" customFormat="1" x14ac:dyDescent="0.35">
      <c r="B70" s="8"/>
      <c r="C70" s="2"/>
      <c r="D70" s="2"/>
      <c r="E70" s="2"/>
      <c r="F70" s="2"/>
      <c r="G70" s="2"/>
      <c r="H70" s="2"/>
      <c r="I70" s="2"/>
      <c r="J70" s="2"/>
    </row>
    <row r="71" spans="2:10" s="7" customFormat="1" x14ac:dyDescent="0.35">
      <c r="B71" s="2"/>
      <c r="C71" s="2"/>
      <c r="D71" s="2"/>
      <c r="E71" s="2"/>
      <c r="F71" s="2"/>
      <c r="G71" s="2"/>
      <c r="H71" s="2"/>
      <c r="I71" s="2"/>
      <c r="J71" s="2"/>
    </row>
    <row r="72" spans="2:10" s="7" customFormat="1" x14ac:dyDescent="0.35">
      <c r="B72" s="2"/>
      <c r="C72" s="2"/>
      <c r="D72" s="2"/>
      <c r="E72" s="2"/>
      <c r="F72" s="2"/>
      <c r="G72" s="2"/>
      <c r="H72" s="2"/>
      <c r="I72" s="2"/>
      <c r="J72" s="2"/>
    </row>
    <row r="73" spans="2:10" s="7" customFormat="1" x14ac:dyDescent="0.35">
      <c r="B73" s="2"/>
      <c r="C73" s="2"/>
      <c r="D73" s="2"/>
      <c r="E73" s="2"/>
      <c r="F73" s="2"/>
      <c r="G73" s="2"/>
      <c r="H73" s="2"/>
      <c r="I73" s="2"/>
      <c r="J73" s="2"/>
    </row>
    <row r="74" spans="2:10" s="7" customFormat="1" x14ac:dyDescent="0.35">
      <c r="B74" s="8"/>
      <c r="C74" s="2"/>
      <c r="D74" s="2"/>
      <c r="E74" s="2"/>
      <c r="F74" s="2"/>
      <c r="G74" s="2"/>
      <c r="H74" s="2"/>
      <c r="I74" s="2"/>
      <c r="J74" s="2"/>
    </row>
    <row r="75" spans="2:10" s="7" customFormat="1" x14ac:dyDescent="0.35">
      <c r="B75" s="8"/>
      <c r="C75" s="2"/>
      <c r="D75" s="2"/>
      <c r="E75" s="2"/>
      <c r="F75" s="2"/>
      <c r="G75" s="2"/>
      <c r="H75" s="2"/>
      <c r="I75" s="2"/>
      <c r="J75" s="2"/>
    </row>
    <row r="76" spans="2:10" s="7" customFormat="1" x14ac:dyDescent="0.35">
      <c r="B76" s="8"/>
      <c r="C76" s="2"/>
      <c r="D76" s="2"/>
      <c r="E76" s="2"/>
      <c r="F76" s="2"/>
      <c r="G76" s="2"/>
      <c r="H76" s="2"/>
      <c r="I76" s="2"/>
      <c r="J76" s="2"/>
    </row>
    <row r="77" spans="2:10" s="7" customFormat="1" x14ac:dyDescent="0.35">
      <c r="B77" s="8"/>
      <c r="C77" s="2"/>
      <c r="D77" s="2"/>
      <c r="E77" s="2"/>
      <c r="F77" s="2"/>
      <c r="G77" s="2"/>
      <c r="H77" s="2"/>
      <c r="I77" s="2"/>
      <c r="J77" s="2"/>
    </row>
    <row r="78" spans="2:10" s="7" customFormat="1" x14ac:dyDescent="0.35">
      <c r="B78" s="8"/>
      <c r="C78" s="2"/>
      <c r="D78" s="2"/>
      <c r="E78" s="2"/>
      <c r="F78" s="2"/>
      <c r="G78" s="2"/>
      <c r="H78" s="2"/>
      <c r="I78" s="2"/>
      <c r="J78" s="2"/>
    </row>
    <row r="79" spans="2:10" s="7" customFormat="1" x14ac:dyDescent="0.35">
      <c r="B79" s="2"/>
      <c r="C79" s="2"/>
      <c r="D79" s="2"/>
      <c r="E79" s="2"/>
      <c r="F79" s="2"/>
      <c r="G79" s="2"/>
      <c r="H79" s="2"/>
      <c r="I79" s="2"/>
      <c r="J79" s="2"/>
    </row>
    <row r="80" spans="2:10" s="7" customFormat="1" x14ac:dyDescent="0.35">
      <c r="B80" s="2"/>
      <c r="C80" s="2"/>
      <c r="D80" s="2"/>
      <c r="E80" s="2"/>
      <c r="F80" s="2"/>
      <c r="G80" s="2"/>
      <c r="H80" s="2"/>
      <c r="I80" s="2"/>
      <c r="J80" s="2"/>
    </row>
    <row r="81" spans="1:10" s="7" customFormat="1" x14ac:dyDescent="0.35">
      <c r="B81" s="2"/>
      <c r="C81" s="2"/>
      <c r="D81" s="2"/>
      <c r="E81" s="2"/>
      <c r="F81" s="2"/>
      <c r="G81" s="2"/>
      <c r="H81" s="2"/>
      <c r="I81" s="2"/>
      <c r="J81" s="2"/>
    </row>
    <row r="82" spans="1:10" s="7" customFormat="1" x14ac:dyDescent="0.35">
      <c r="B82" s="3"/>
      <c r="C82" s="3"/>
      <c r="D82" s="3"/>
      <c r="E82" s="3"/>
      <c r="F82" s="3"/>
      <c r="G82" s="3"/>
      <c r="H82" s="3"/>
      <c r="I82" s="3"/>
      <c r="J82" s="3"/>
    </row>
    <row r="83" spans="1:10" s="9" customFormat="1" ht="6.6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"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B96" s="2"/>
      <c r="C96" s="2"/>
      <c r="D96" s="2"/>
      <c r="E96" s="2"/>
      <c r="F96" s="2"/>
      <c r="G96" s="2"/>
      <c r="H96" s="2"/>
      <c r="I96" s="2"/>
      <c r="J96" s="2"/>
    </row>
    <row r="97" spans="2:10" x14ac:dyDescent="0.3">
      <c r="B97" s="2"/>
      <c r="C97" s="2"/>
      <c r="D97" s="2"/>
      <c r="E97" s="2"/>
      <c r="F97" s="2"/>
      <c r="G97" s="2"/>
      <c r="H97" s="2"/>
      <c r="I97" s="2"/>
      <c r="J97" s="2"/>
    </row>
    <row r="98" spans="2:10" x14ac:dyDescent="0.3">
      <c r="B98" s="2"/>
      <c r="C98" s="2"/>
      <c r="D98" s="2"/>
      <c r="E98" s="2"/>
      <c r="F98" s="2"/>
      <c r="G98" s="2"/>
      <c r="H98" s="2"/>
      <c r="I98" s="2"/>
      <c r="J98" s="2"/>
    </row>
    <row r="99" spans="2:10" x14ac:dyDescent="0.3">
      <c r="B99" s="2"/>
      <c r="C99" s="2"/>
      <c r="D99" s="2"/>
      <c r="E99" s="2"/>
      <c r="F99" s="2"/>
      <c r="G99" s="2"/>
      <c r="H99" s="2"/>
      <c r="I99" s="2"/>
      <c r="J99" s="2"/>
    </row>
    <row r="100" spans="2:10" x14ac:dyDescent="0.3">
      <c r="B100" s="2"/>
      <c r="C100" s="2"/>
      <c r="D100" s="2"/>
      <c r="E100" s="2"/>
      <c r="F100" s="2"/>
      <c r="G100" s="2"/>
      <c r="H100" s="2"/>
      <c r="I100" s="2"/>
      <c r="J100" s="2"/>
    </row>
    <row r="101" spans="2:10" x14ac:dyDescent="0.3">
      <c r="B101" s="2"/>
      <c r="C101" s="2"/>
      <c r="D101" s="2"/>
      <c r="E101" s="2"/>
      <c r="F101" s="2"/>
      <c r="G101" s="2"/>
      <c r="H101" s="2"/>
      <c r="I101" s="2"/>
      <c r="J101" s="2"/>
    </row>
    <row r="102" spans="2:10" x14ac:dyDescent="0.3">
      <c r="B102" s="2"/>
      <c r="C102" s="2"/>
      <c r="D102" s="2"/>
      <c r="E102" s="2"/>
      <c r="F102" s="2"/>
      <c r="G102" s="2"/>
      <c r="H102" s="2"/>
      <c r="I102" s="2"/>
      <c r="J102" s="2"/>
    </row>
    <row r="103" spans="2:10" x14ac:dyDescent="0.3">
      <c r="B103" s="2"/>
      <c r="C103" s="2"/>
      <c r="D103" s="2"/>
      <c r="E103" s="2"/>
      <c r="F103" s="2"/>
      <c r="G103" s="2"/>
      <c r="H103" s="2"/>
      <c r="I103" s="2"/>
      <c r="J103" s="2"/>
    </row>
    <row r="104" spans="2:10" x14ac:dyDescent="0.3">
      <c r="B104" s="2"/>
      <c r="C104" s="2"/>
      <c r="D104" s="2"/>
      <c r="E104" s="2"/>
      <c r="F104" s="2"/>
      <c r="G104" s="2"/>
      <c r="H104" s="2"/>
      <c r="I104" s="2"/>
      <c r="J104" s="2"/>
    </row>
    <row r="105" spans="2:10" x14ac:dyDescent="0.3">
      <c r="B105" s="2"/>
      <c r="C105" s="2"/>
      <c r="D105" s="2"/>
      <c r="E105" s="2"/>
      <c r="F105" s="2"/>
      <c r="G105" s="2"/>
      <c r="H105" s="2"/>
      <c r="I105" s="2"/>
      <c r="J105" s="2"/>
    </row>
    <row r="106" spans="2:10" x14ac:dyDescent="0.3">
      <c r="B106" s="2"/>
      <c r="C106" s="2"/>
      <c r="D106" s="2"/>
      <c r="E106" s="2"/>
      <c r="F106" s="2"/>
      <c r="G106" s="2"/>
      <c r="H106" s="2"/>
      <c r="I106" s="2"/>
      <c r="J106" s="2"/>
    </row>
    <row r="107" spans="2:10" x14ac:dyDescent="0.3">
      <c r="B107" s="2"/>
      <c r="C107" s="2"/>
      <c r="D107" s="2"/>
      <c r="E107" s="2"/>
      <c r="F107" s="2"/>
      <c r="G107" s="2"/>
      <c r="H107" s="2"/>
      <c r="I107" s="2"/>
      <c r="J107" s="2"/>
    </row>
    <row r="108" spans="2:10" x14ac:dyDescent="0.3">
      <c r="B108" s="2"/>
      <c r="C108" s="2"/>
      <c r="D108" s="2"/>
      <c r="E108" s="2"/>
      <c r="F108" s="2"/>
      <c r="G108" s="2"/>
      <c r="H108" s="2"/>
      <c r="I108" s="2"/>
      <c r="J108" s="2"/>
    </row>
    <row r="109" spans="2:10" x14ac:dyDescent="0.3">
      <c r="B109" s="2"/>
      <c r="C109" s="2"/>
      <c r="D109" s="2"/>
      <c r="E109" s="2"/>
      <c r="F109" s="2"/>
      <c r="G109" s="2"/>
      <c r="H109" s="2"/>
      <c r="I109" s="2"/>
      <c r="J109" s="2"/>
    </row>
    <row r="110" spans="2:10" x14ac:dyDescent="0.3">
      <c r="B110" s="2"/>
      <c r="C110" s="2"/>
      <c r="D110" s="2"/>
      <c r="E110" s="2"/>
      <c r="F110" s="2"/>
      <c r="G110" s="2"/>
      <c r="H110" s="2"/>
      <c r="I110" s="2"/>
      <c r="J110" s="2"/>
    </row>
    <row r="111" spans="2:10" x14ac:dyDescent="0.3">
      <c r="B111" s="2"/>
      <c r="C111" s="2"/>
      <c r="D111" s="2"/>
      <c r="E111" s="2"/>
      <c r="F111" s="2"/>
      <c r="G111" s="2"/>
      <c r="H111" s="2"/>
      <c r="I111" s="2"/>
      <c r="J111" s="2"/>
    </row>
    <row r="112" spans="2:10" x14ac:dyDescent="0.3">
      <c r="B112" s="2"/>
      <c r="C112" s="2"/>
      <c r="D112" s="2"/>
      <c r="E112" s="2"/>
      <c r="F112" s="2"/>
      <c r="G112" s="2"/>
      <c r="H112" s="2"/>
      <c r="I112" s="2"/>
      <c r="J112" s="2"/>
    </row>
    <row r="113" spans="2:10" x14ac:dyDescent="0.3">
      <c r="B113" s="2"/>
      <c r="C113" s="2"/>
      <c r="D113" s="2"/>
      <c r="E113" s="2"/>
      <c r="F113" s="2"/>
      <c r="G113" s="2"/>
      <c r="H113" s="2"/>
      <c r="I113" s="2"/>
      <c r="J113" s="2"/>
    </row>
    <row r="114" spans="2:10" x14ac:dyDescent="0.3">
      <c r="B114" s="2"/>
      <c r="C114" s="2"/>
      <c r="D114" s="2"/>
      <c r="E114" s="2"/>
      <c r="F114" s="2"/>
      <c r="G114" s="2"/>
      <c r="H114" s="2"/>
      <c r="I114" s="2"/>
      <c r="J114" s="2"/>
    </row>
    <row r="115" spans="2:10" x14ac:dyDescent="0.3">
      <c r="B115" s="2"/>
      <c r="C115" s="2"/>
      <c r="D115" s="2"/>
      <c r="E115" s="2"/>
      <c r="F115" s="2"/>
      <c r="G115" s="2"/>
      <c r="H115" s="2"/>
      <c r="I115" s="2"/>
      <c r="J115" s="2"/>
    </row>
    <row r="116" spans="2:10" x14ac:dyDescent="0.3">
      <c r="B116" s="2"/>
      <c r="C116" s="2"/>
      <c r="D116" s="2"/>
      <c r="E116" s="2"/>
      <c r="F116" s="2"/>
      <c r="G116" s="2"/>
      <c r="H116" s="2"/>
      <c r="I116" s="2"/>
      <c r="J116" s="2"/>
    </row>
    <row r="117" spans="2:10" x14ac:dyDescent="0.3">
      <c r="B117" s="2"/>
      <c r="C117" s="2"/>
      <c r="D117" s="2"/>
      <c r="E117" s="2"/>
      <c r="F117" s="2"/>
      <c r="G117" s="2"/>
      <c r="H117" s="2"/>
      <c r="I117" s="2"/>
      <c r="J117" s="2"/>
    </row>
    <row r="118" spans="2:10" x14ac:dyDescent="0.3">
      <c r="B118" s="2"/>
      <c r="C118" s="2"/>
      <c r="D118" s="2"/>
      <c r="E118" s="2"/>
      <c r="F118" s="2"/>
      <c r="G118" s="2"/>
      <c r="H118" s="2"/>
      <c r="I118" s="2"/>
      <c r="J118" s="2"/>
    </row>
    <row r="119" spans="2:10" x14ac:dyDescent="0.3">
      <c r="B119" s="2"/>
      <c r="C119" s="2"/>
      <c r="D119" s="2"/>
      <c r="E119" s="2"/>
      <c r="F119" s="2"/>
      <c r="G119" s="2"/>
      <c r="H119" s="2"/>
      <c r="I119" s="2"/>
      <c r="J119" s="2"/>
    </row>
  </sheetData>
  <mergeCells count="60">
    <mergeCell ref="C63:J63"/>
    <mergeCell ref="J50:J51"/>
    <mergeCell ref="A52:A53"/>
    <mergeCell ref="B52:B53"/>
    <mergeCell ref="C52:F53"/>
    <mergeCell ref="G52:G53"/>
    <mergeCell ref="H52:H53"/>
    <mergeCell ref="I52:I53"/>
    <mergeCell ref="J52:J53"/>
    <mergeCell ref="A54:I54"/>
    <mergeCell ref="A56:J56"/>
    <mergeCell ref="A58:J58"/>
    <mergeCell ref="A60:B60"/>
    <mergeCell ref="C60:J60"/>
    <mergeCell ref="A46:B46"/>
    <mergeCell ref="C46:J46"/>
    <mergeCell ref="A48:B48"/>
    <mergeCell ref="C48:J48"/>
    <mergeCell ref="A50:A51"/>
    <mergeCell ref="B50:B51"/>
    <mergeCell ref="C50:F51"/>
    <mergeCell ref="G50:G51"/>
    <mergeCell ref="H50:H51"/>
    <mergeCell ref="I50:I51"/>
    <mergeCell ref="A38:J40"/>
    <mergeCell ref="A41:C42"/>
    <mergeCell ref="H41:J42"/>
    <mergeCell ref="A44:B44"/>
    <mergeCell ref="C44:J44"/>
    <mergeCell ref="D41:E42"/>
    <mergeCell ref="C26:J26"/>
    <mergeCell ref="J13:J14"/>
    <mergeCell ref="A15:A16"/>
    <mergeCell ref="B15:B16"/>
    <mergeCell ref="C15:F16"/>
    <mergeCell ref="G15:G16"/>
    <mergeCell ref="H15:H16"/>
    <mergeCell ref="I15:I16"/>
    <mergeCell ref="J15:J16"/>
    <mergeCell ref="A17:I17"/>
    <mergeCell ref="A19:J19"/>
    <mergeCell ref="A21:J21"/>
    <mergeCell ref="A23:B23"/>
    <mergeCell ref="C23:J23"/>
    <mergeCell ref="A9:B9"/>
    <mergeCell ref="C9:J9"/>
    <mergeCell ref="A11:B11"/>
    <mergeCell ref="C11:J11"/>
    <mergeCell ref="A13:A14"/>
    <mergeCell ref="B13:B14"/>
    <mergeCell ref="C13:F14"/>
    <mergeCell ref="G13:G14"/>
    <mergeCell ref="H13:H14"/>
    <mergeCell ref="I13:I14"/>
    <mergeCell ref="A1:J3"/>
    <mergeCell ref="A4:C5"/>
    <mergeCell ref="H4:J5"/>
    <mergeCell ref="A7:B7"/>
    <mergeCell ref="C7:J7"/>
    <mergeCell ref="D4:E5"/>
  </mergeCells>
  <pageMargins left="0.39370078740157483" right="0.39370078740157483" top="0.39370078740157483" bottom="0.39370078740157483" header="0" footer="0"/>
  <pageSetup paperSize="9" scale="99" orientation="portrait" horizont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2"/>
  <sheetViews>
    <sheetView view="pageBreakPreview" zoomScaleNormal="100" zoomScaleSheetLayoutView="100" workbookViewId="0">
      <selection activeCell="B11" sqref="B11:D12"/>
    </sheetView>
  </sheetViews>
  <sheetFormatPr defaultColWidth="9.26953125" defaultRowHeight="12.75" customHeight="1" x14ac:dyDescent="0.35"/>
  <cols>
    <col min="1" max="1" width="8.7265625" style="8" customWidth="1"/>
    <col min="2" max="2" width="2.7265625" style="8" customWidth="1"/>
    <col min="3" max="3" width="8.7265625" style="8" customWidth="1"/>
    <col min="4" max="4" width="3.7265625" style="8" customWidth="1"/>
    <col min="5" max="6" width="8.7265625" style="8" customWidth="1"/>
    <col min="7" max="7" width="11.7265625" style="8" customWidth="1"/>
    <col min="8" max="8" width="8.7265625" style="8" customWidth="1"/>
    <col min="9" max="9" width="3.7265625" style="8" customWidth="1"/>
    <col min="10" max="10" width="0.7265625" style="8" customWidth="1"/>
    <col min="11" max="11" width="2.26953125" style="8" customWidth="1"/>
    <col min="12" max="12" width="10.26953125" style="8" customWidth="1"/>
    <col min="13" max="13" width="3.7265625" style="8" customWidth="1"/>
    <col min="14" max="14" width="2.7265625" style="8" customWidth="1"/>
    <col min="15" max="15" width="10.26953125" style="8" customWidth="1"/>
    <col min="16" max="16384" width="9.26953125" style="8"/>
  </cols>
  <sheetData>
    <row r="1" spans="1:15" ht="12.75" customHeight="1" x14ac:dyDescent="0.35">
      <c r="A1" s="194" t="s">
        <v>20</v>
      </c>
      <c r="B1" s="194"/>
      <c r="C1" s="194"/>
      <c r="D1" s="194"/>
      <c r="E1" s="194"/>
      <c r="F1" s="194"/>
      <c r="H1" s="183" t="s">
        <v>23</v>
      </c>
      <c r="I1" s="183"/>
      <c r="J1" s="22"/>
      <c r="K1" s="193" t="s">
        <v>37</v>
      </c>
      <c r="L1" s="194" t="s">
        <v>20</v>
      </c>
      <c r="M1" s="194"/>
      <c r="N1" s="194"/>
      <c r="O1" s="194"/>
    </row>
    <row r="2" spans="1:15" ht="12.75" customHeight="1" x14ac:dyDescent="0.35">
      <c r="A2" s="195" t="s">
        <v>21</v>
      </c>
      <c r="B2" s="195"/>
      <c r="C2" s="195"/>
      <c r="D2" s="195"/>
      <c r="E2" s="195"/>
      <c r="F2" s="195"/>
      <c r="H2" s="186"/>
      <c r="I2" s="186"/>
      <c r="J2" s="23"/>
      <c r="K2" s="193"/>
      <c r="L2" s="195" t="s">
        <v>21</v>
      </c>
      <c r="M2" s="195"/>
      <c r="N2" s="195"/>
      <c r="O2" s="195"/>
    </row>
    <row r="3" spans="1:15" ht="12.75" customHeight="1" x14ac:dyDescent="0.35">
      <c r="H3" s="186" t="s">
        <v>30</v>
      </c>
      <c r="I3" s="186"/>
      <c r="J3" s="23"/>
      <c r="K3" s="193"/>
    </row>
    <row r="4" spans="1:15" ht="12.75" customHeight="1" x14ac:dyDescent="0.35">
      <c r="H4" s="184"/>
      <c r="I4" s="185"/>
      <c r="J4" s="24"/>
      <c r="K4" s="193"/>
      <c r="L4" s="182" t="s">
        <v>27</v>
      </c>
      <c r="M4" s="182"/>
      <c r="N4" s="182"/>
      <c r="O4" s="182"/>
    </row>
    <row r="5" spans="1:15" ht="12.75" customHeight="1" x14ac:dyDescent="0.35">
      <c r="A5" s="182" t="s">
        <v>22</v>
      </c>
      <c r="B5" s="182"/>
      <c r="C5" s="182"/>
      <c r="D5" s="182"/>
      <c r="E5" s="182"/>
      <c r="F5" s="182"/>
      <c r="K5" s="193"/>
      <c r="L5" s="182" t="s">
        <v>28</v>
      </c>
      <c r="M5" s="182"/>
      <c r="N5" s="182"/>
      <c r="O5" s="182"/>
    </row>
    <row r="6" spans="1:15" ht="12.75" customHeight="1" x14ac:dyDescent="0.35">
      <c r="A6" s="197" t="s">
        <v>300</v>
      </c>
      <c r="B6" s="197" t="s">
        <v>301</v>
      </c>
      <c r="C6" s="197"/>
      <c r="D6" s="197"/>
      <c r="E6" s="197" t="s">
        <v>29</v>
      </c>
      <c r="F6" s="197" t="s">
        <v>24</v>
      </c>
      <c r="G6" s="197" t="s">
        <v>25</v>
      </c>
      <c r="H6" s="197" t="s">
        <v>26</v>
      </c>
      <c r="I6" s="184"/>
      <c r="J6" s="14"/>
      <c r="K6" s="193"/>
      <c r="L6" s="21" t="s">
        <v>4</v>
      </c>
      <c r="M6" s="121" t="str">
        <f>A11</f>
        <v>001-01/20</v>
      </c>
      <c r="N6" s="122"/>
    </row>
    <row r="7" spans="1:15" ht="12.75" customHeight="1" x14ac:dyDescent="0.35">
      <c r="A7" s="197"/>
      <c r="B7" s="197"/>
      <c r="C7" s="197"/>
      <c r="D7" s="197"/>
      <c r="E7" s="197"/>
      <c r="F7" s="197"/>
      <c r="G7" s="197"/>
      <c r="H7" s="197"/>
      <c r="I7" s="184"/>
      <c r="J7" s="14"/>
      <c r="K7" s="193"/>
      <c r="O7" s="20"/>
    </row>
    <row r="8" spans="1:15" ht="12.75" customHeight="1" x14ac:dyDescent="0.35">
      <c r="A8" s="197"/>
      <c r="B8" s="197"/>
      <c r="C8" s="197"/>
      <c r="D8" s="197"/>
      <c r="E8" s="197"/>
      <c r="F8" s="197"/>
      <c r="G8" s="197"/>
      <c r="H8" s="197"/>
      <c r="I8" s="184"/>
      <c r="J8" s="14"/>
      <c r="K8" s="193"/>
      <c r="L8" s="189" t="s">
        <v>31</v>
      </c>
      <c r="M8" s="189"/>
      <c r="N8" s="164"/>
      <c r="O8" s="164"/>
    </row>
    <row r="9" spans="1:15" ht="12.75" customHeight="1" x14ac:dyDescent="0.35">
      <c r="A9" s="197"/>
      <c r="B9" s="197"/>
      <c r="C9" s="197"/>
      <c r="D9" s="197"/>
      <c r="E9" s="197"/>
      <c r="F9" s="197"/>
      <c r="G9" s="197"/>
      <c r="H9" s="197"/>
      <c r="I9" s="184"/>
      <c r="J9" s="14"/>
      <c r="K9" s="193"/>
      <c r="L9" s="190" t="str">
        <f>C14</f>
        <v>Навальный Алексей «ФБК»</v>
      </c>
      <c r="M9" s="190"/>
      <c r="N9" s="190"/>
      <c r="O9" s="190"/>
    </row>
    <row r="10" spans="1:15" ht="12.75" customHeight="1" x14ac:dyDescent="0.35">
      <c r="A10" s="197"/>
      <c r="B10" s="197"/>
      <c r="C10" s="197"/>
      <c r="D10" s="197"/>
      <c r="E10" s="197"/>
      <c r="F10" s="197"/>
      <c r="G10" s="197"/>
      <c r="H10" s="197"/>
      <c r="I10" s="184"/>
      <c r="J10" s="14"/>
      <c r="K10" s="193"/>
      <c r="L10" s="190"/>
      <c r="M10" s="190"/>
      <c r="N10" s="190"/>
      <c r="O10" s="190"/>
    </row>
    <row r="11" spans="1:15" ht="12.75" customHeight="1" x14ac:dyDescent="0.35">
      <c r="A11" s="198" t="str">
        <f>факт!D4</f>
        <v>001-01/20</v>
      </c>
      <c r="B11" s="196" t="str">
        <f>L23</f>
        <v>01 января 2020 г.</v>
      </c>
      <c r="C11" s="196"/>
      <c r="D11" s="196"/>
      <c r="E11" s="184"/>
      <c r="F11" s="184"/>
      <c r="G11" s="200">
        <f>факт!J17</f>
        <v>2500</v>
      </c>
      <c r="H11" s="184"/>
      <c r="I11" s="184"/>
      <c r="J11" s="14"/>
      <c r="K11" s="193"/>
      <c r="L11" s="190"/>
      <c r="M11" s="190"/>
      <c r="N11" s="190"/>
      <c r="O11" s="190"/>
    </row>
    <row r="12" spans="1:15" ht="12.75" customHeight="1" x14ac:dyDescent="0.35">
      <c r="A12" s="199"/>
      <c r="B12" s="196"/>
      <c r="C12" s="196"/>
      <c r="D12" s="196"/>
      <c r="E12" s="184"/>
      <c r="F12" s="184"/>
      <c r="G12" s="184"/>
      <c r="H12" s="184"/>
      <c r="I12" s="184"/>
      <c r="J12" s="14"/>
      <c r="K12" s="193"/>
      <c r="L12" s="189" t="s">
        <v>2</v>
      </c>
      <c r="M12" s="189"/>
      <c r="N12" s="164"/>
      <c r="O12" s="164"/>
    </row>
    <row r="13" spans="1:15" ht="12.75" customHeight="1" x14ac:dyDescent="0.35">
      <c r="K13" s="193"/>
      <c r="L13" s="190" t="str">
        <f>C17</f>
        <v>Договор №001-01/20 от 01 января 2020 г.</v>
      </c>
      <c r="M13" s="190"/>
      <c r="N13" s="190"/>
      <c r="O13" s="190"/>
    </row>
    <row r="14" spans="1:15" ht="12.75" customHeight="1" x14ac:dyDescent="0.35">
      <c r="A14" s="189" t="s">
        <v>31</v>
      </c>
      <c r="B14" s="189"/>
      <c r="C14" s="191" t="str">
        <f>факт!C7</f>
        <v>Навальный Алексей «ФБК»</v>
      </c>
      <c r="D14" s="191"/>
      <c r="E14" s="191"/>
      <c r="F14" s="191"/>
      <c r="G14" s="191"/>
      <c r="H14" s="191"/>
      <c r="I14" s="192"/>
      <c r="J14" s="25"/>
      <c r="K14" s="193"/>
      <c r="L14" s="190"/>
      <c r="M14" s="190"/>
      <c r="N14" s="190"/>
      <c r="O14" s="190"/>
    </row>
    <row r="15" spans="1:15" ht="12.75" customHeight="1" x14ac:dyDescent="0.35">
      <c r="A15" s="15"/>
      <c r="B15" s="15"/>
      <c r="C15" s="191"/>
      <c r="D15" s="191"/>
      <c r="E15" s="191"/>
      <c r="F15" s="191"/>
      <c r="G15" s="191"/>
      <c r="H15" s="191"/>
      <c r="I15" s="192"/>
      <c r="J15" s="25"/>
      <c r="K15" s="193"/>
      <c r="L15" s="190"/>
      <c r="M15" s="190"/>
      <c r="N15" s="190"/>
      <c r="O15" s="190"/>
    </row>
    <row r="16" spans="1:15" ht="12.75" customHeight="1" x14ac:dyDescent="0.35">
      <c r="A16" s="15"/>
      <c r="B16" s="15"/>
      <c r="K16" s="193"/>
      <c r="L16" s="189" t="s">
        <v>32</v>
      </c>
      <c r="M16" s="189"/>
      <c r="N16" s="164"/>
      <c r="O16" s="164"/>
    </row>
    <row r="17" spans="1:15" ht="12.75" customHeight="1" x14ac:dyDescent="0.35">
      <c r="A17" s="189" t="s">
        <v>2</v>
      </c>
      <c r="B17" s="189"/>
      <c r="C17" s="191" t="str">
        <f>факт!C9</f>
        <v>Договор №001-01/20 от 01 января 2020 г.</v>
      </c>
      <c r="D17" s="191"/>
      <c r="E17" s="191"/>
      <c r="F17" s="191"/>
      <c r="G17" s="191"/>
      <c r="H17" s="191"/>
      <c r="I17" s="192"/>
      <c r="J17" s="25"/>
      <c r="K17" s="193"/>
      <c r="L17" s="190" t="str">
        <f>C20</f>
        <v>Две тысячи пятьсот сом, 00 тыйын</v>
      </c>
      <c r="M17" s="190"/>
      <c r="N17" s="190"/>
      <c r="O17" s="190"/>
    </row>
    <row r="18" spans="1:15" ht="12.75" customHeight="1" x14ac:dyDescent="0.35">
      <c r="A18" s="15"/>
      <c r="B18" s="15"/>
      <c r="C18" s="191"/>
      <c r="D18" s="191"/>
      <c r="E18" s="191"/>
      <c r="F18" s="191"/>
      <c r="G18" s="191"/>
      <c r="H18" s="191"/>
      <c r="I18" s="192"/>
      <c r="J18" s="25"/>
      <c r="K18" s="193"/>
      <c r="L18" s="190"/>
      <c r="M18" s="190"/>
      <c r="N18" s="190"/>
      <c r="O18" s="190"/>
    </row>
    <row r="19" spans="1:15" ht="12.75" customHeight="1" x14ac:dyDescent="0.35">
      <c r="A19" s="15"/>
      <c r="B19" s="15"/>
      <c r="K19" s="193"/>
      <c r="L19" s="190"/>
      <c r="M19" s="190"/>
      <c r="N19" s="190"/>
      <c r="O19" s="190"/>
    </row>
    <row r="20" spans="1:15" ht="12.75" customHeight="1" x14ac:dyDescent="0.35">
      <c r="A20" s="189" t="s">
        <v>32</v>
      </c>
      <c r="B20" s="189"/>
      <c r="C20" s="191" t="str">
        <f>факт!C23</f>
        <v>Две тысячи пятьсот сом, 00 тыйын</v>
      </c>
      <c r="D20" s="191"/>
      <c r="E20" s="191"/>
      <c r="F20" s="191"/>
      <c r="G20" s="191"/>
      <c r="H20" s="191"/>
      <c r="I20" s="192"/>
      <c r="J20" s="25"/>
      <c r="K20" s="193"/>
      <c r="L20" s="19">
        <f>G11</f>
        <v>2500</v>
      </c>
      <c r="M20" s="17" t="s">
        <v>11</v>
      </c>
      <c r="N20" s="18" t="s">
        <v>36</v>
      </c>
      <c r="O20" s="17" t="s">
        <v>35</v>
      </c>
    </row>
    <row r="21" spans="1:15" ht="12.75" customHeight="1" x14ac:dyDescent="0.35">
      <c r="A21" s="15"/>
      <c r="B21" s="15"/>
      <c r="C21" s="191"/>
      <c r="D21" s="191"/>
      <c r="E21" s="191"/>
      <c r="F21" s="191"/>
      <c r="G21" s="191"/>
      <c r="H21" s="191"/>
      <c r="I21" s="192"/>
      <c r="J21" s="25"/>
      <c r="K21" s="193"/>
      <c r="L21" s="26"/>
      <c r="M21" s="26"/>
      <c r="N21" s="16"/>
      <c r="O21" s="16"/>
    </row>
    <row r="22" spans="1:15" ht="12.75" customHeight="1" x14ac:dyDescent="0.35">
      <c r="A22" s="15"/>
      <c r="B22" s="15"/>
      <c r="K22" s="193"/>
    </row>
    <row r="23" spans="1:15" ht="12.75" customHeight="1" x14ac:dyDescent="0.35">
      <c r="A23" s="189" t="s">
        <v>34</v>
      </c>
      <c r="B23" s="189"/>
      <c r="C23" s="191" t="str">
        <f>факт!C15</f>
        <v>Экспертиза и оценка: Транспортное средство Subaru Outback, 08KG848ААА</v>
      </c>
      <c r="D23" s="191"/>
      <c r="E23" s="191"/>
      <c r="F23" s="191"/>
      <c r="G23" s="191"/>
      <c r="H23" s="191"/>
      <c r="I23" s="192"/>
      <c r="J23" s="25"/>
      <c r="K23" s="193"/>
      <c r="L23" s="187" t="str">
        <f>факт!H4</f>
        <v>01 января 2020 г.</v>
      </c>
      <c r="M23" s="187"/>
      <c r="N23" s="188"/>
      <c r="O23" s="188"/>
    </row>
    <row r="24" spans="1:15" ht="12.75" customHeight="1" x14ac:dyDescent="0.35">
      <c r="A24" s="14"/>
      <c r="B24" s="14"/>
      <c r="C24" s="191"/>
      <c r="D24" s="191"/>
      <c r="E24" s="191"/>
      <c r="F24" s="191"/>
      <c r="G24" s="191"/>
      <c r="H24" s="191"/>
      <c r="I24" s="192"/>
      <c r="J24" s="25"/>
      <c r="K24" s="193"/>
    </row>
    <row r="25" spans="1:15" ht="12.75" customHeight="1" x14ac:dyDescent="0.35">
      <c r="A25" s="14"/>
      <c r="B25" s="14"/>
      <c r="C25" s="191"/>
      <c r="D25" s="191"/>
      <c r="E25" s="191"/>
      <c r="F25" s="191"/>
      <c r="G25" s="191"/>
      <c r="H25" s="191"/>
      <c r="I25" s="192"/>
      <c r="J25" s="25"/>
      <c r="K25" s="193"/>
    </row>
    <row r="26" spans="1:15" ht="12.75" customHeight="1" x14ac:dyDescent="0.35">
      <c r="A26" s="14"/>
      <c r="B26" s="14"/>
      <c r="C26" s="191"/>
      <c r="D26" s="191"/>
      <c r="E26" s="191"/>
      <c r="F26" s="191"/>
      <c r="G26" s="191"/>
      <c r="H26" s="191"/>
      <c r="I26" s="192"/>
      <c r="J26" s="25"/>
      <c r="K26" s="193"/>
      <c r="L26" s="8" t="s">
        <v>16</v>
      </c>
    </row>
    <row r="27" spans="1:15" ht="12.75" customHeight="1" x14ac:dyDescent="0.35">
      <c r="A27" s="14"/>
      <c r="B27" s="14"/>
      <c r="C27" s="191"/>
      <c r="D27" s="191"/>
      <c r="E27" s="191"/>
      <c r="F27" s="191"/>
      <c r="G27" s="191"/>
      <c r="H27" s="191"/>
      <c r="I27" s="192"/>
      <c r="J27" s="25"/>
      <c r="K27" s="193"/>
    </row>
    <row r="28" spans="1:15" ht="12.75" customHeight="1" x14ac:dyDescent="0.35">
      <c r="A28" s="14"/>
      <c r="B28" s="14"/>
      <c r="K28" s="193"/>
    </row>
    <row r="29" spans="1:15" ht="12.75" customHeight="1" x14ac:dyDescent="0.35">
      <c r="A29" s="189" t="s">
        <v>33</v>
      </c>
      <c r="B29" s="189"/>
      <c r="C29" s="189"/>
      <c r="D29" s="189"/>
      <c r="E29" s="189"/>
      <c r="F29" s="189"/>
      <c r="G29" s="189"/>
      <c r="H29" s="189"/>
      <c r="I29" s="189"/>
      <c r="J29" s="15"/>
      <c r="K29" s="193"/>
      <c r="L29" s="189" t="s">
        <v>33</v>
      </c>
      <c r="M29" s="189"/>
      <c r="N29" s="164"/>
      <c r="O29" s="164"/>
    </row>
    <row r="30" spans="1:15" ht="12.7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93"/>
    </row>
    <row r="31" spans="1:15" ht="12.75" customHeight="1" x14ac:dyDescent="0.35">
      <c r="A31" s="125"/>
      <c r="B31" s="125"/>
      <c r="C31" s="125"/>
      <c r="D31" s="125"/>
      <c r="E31" s="125"/>
      <c r="F31" s="125"/>
      <c r="G31" s="125"/>
      <c r="H31" s="125"/>
      <c r="I31" s="125"/>
      <c r="J31" s="126"/>
      <c r="K31" s="193"/>
      <c r="L31" s="24"/>
      <c r="M31" s="125"/>
      <c r="N31" s="125"/>
      <c r="O31" s="125"/>
    </row>
    <row r="32" spans="1:15" ht="17.899999999999999" customHeight="1" x14ac:dyDescent="0.35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8"/>
      <c r="L32" s="127"/>
      <c r="M32" s="127"/>
      <c r="N32" s="127"/>
      <c r="O32" s="127"/>
    </row>
  </sheetData>
  <mergeCells count="43">
    <mergeCell ref="A20:B20"/>
    <mergeCell ref="A23:B23"/>
    <mergeCell ref="A29:I29"/>
    <mergeCell ref="C23:I27"/>
    <mergeCell ref="C20:I21"/>
    <mergeCell ref="A14:B14"/>
    <mergeCell ref="A17:B17"/>
    <mergeCell ref="C17:I18"/>
    <mergeCell ref="F11:F12"/>
    <mergeCell ref="G11:G12"/>
    <mergeCell ref="A5:F5"/>
    <mergeCell ref="L5:O5"/>
    <mergeCell ref="I6:I10"/>
    <mergeCell ref="B11:D12"/>
    <mergeCell ref="B6:D10"/>
    <mergeCell ref="A11:A12"/>
    <mergeCell ref="E11:E12"/>
    <mergeCell ref="A6:A10"/>
    <mergeCell ref="H6:H10"/>
    <mergeCell ref="F6:F10"/>
    <mergeCell ref="E6:E10"/>
    <mergeCell ref="G6:G10"/>
    <mergeCell ref="L23:O23"/>
    <mergeCell ref="L29:O29"/>
    <mergeCell ref="H11:H12"/>
    <mergeCell ref="I11:I12"/>
    <mergeCell ref="L9:O11"/>
    <mergeCell ref="L13:O15"/>
    <mergeCell ref="C14:I15"/>
    <mergeCell ref="L12:O12"/>
    <mergeCell ref="L16:O16"/>
    <mergeCell ref="L17:O19"/>
    <mergeCell ref="K1:K31"/>
    <mergeCell ref="L8:O8"/>
    <mergeCell ref="A1:F1"/>
    <mergeCell ref="A2:F2"/>
    <mergeCell ref="L1:O1"/>
    <mergeCell ref="L2:O2"/>
    <mergeCell ref="L4:O4"/>
    <mergeCell ref="H1:I1"/>
    <mergeCell ref="H4:I4"/>
    <mergeCell ref="H2:I2"/>
    <mergeCell ref="H3:I3"/>
  </mergeCells>
  <pageMargins left="0.39370078740157483" right="0.39370078740157483" top="0.39370078740157483" bottom="0.39370078740157483" header="0" footer="0"/>
  <pageSetup paperSize="9"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view="pageBreakPreview" zoomScaleNormal="100" zoomScaleSheetLayoutView="100" workbookViewId="0">
      <selection activeCell="A2" sqref="A2:D2"/>
    </sheetView>
  </sheetViews>
  <sheetFormatPr defaultColWidth="9.1796875" defaultRowHeight="14" x14ac:dyDescent="0.35"/>
  <cols>
    <col min="1" max="4" width="23.7265625" style="77" customWidth="1"/>
    <col min="5" max="8" width="10.26953125" style="77" customWidth="1"/>
    <col min="9" max="16384" width="9.1796875" style="77"/>
  </cols>
  <sheetData>
    <row r="1" spans="1:8" ht="15" x14ac:dyDescent="0.35">
      <c r="A1" s="202" t="str">
        <f>"Акт о приемке выполненных работ №"&amp;счёт!D4</f>
        <v>Акт о приемке выполненных работ №001-01/20</v>
      </c>
      <c r="B1" s="202"/>
      <c r="C1" s="202"/>
      <c r="D1" s="202"/>
      <c r="E1" s="76"/>
      <c r="F1" s="76"/>
      <c r="G1" s="76"/>
      <c r="H1" s="76"/>
    </row>
    <row r="2" spans="1:8" x14ac:dyDescent="0.35">
      <c r="A2" s="203" t="str">
        <f>"от "&amp;факт!H4</f>
        <v>от 01 января 2020 г.</v>
      </c>
      <c r="B2" s="203"/>
      <c r="C2" s="203"/>
      <c r="D2" s="203"/>
      <c r="E2" s="78"/>
      <c r="F2" s="78"/>
      <c r="G2" s="78"/>
      <c r="H2" s="78"/>
    </row>
    <row r="3" spans="1:8" x14ac:dyDescent="0.35">
      <c r="A3" s="76"/>
      <c r="B3" s="76"/>
      <c r="C3" s="76"/>
      <c r="D3" s="76"/>
      <c r="F3" s="79"/>
      <c r="H3" s="80"/>
    </row>
    <row r="4" spans="1:8" x14ac:dyDescent="0.35">
      <c r="A4" s="81" t="s">
        <v>282</v>
      </c>
      <c r="B4" s="204" t="s">
        <v>283</v>
      </c>
      <c r="C4" s="204"/>
      <c r="D4" s="204"/>
      <c r="E4" s="82"/>
      <c r="F4" s="82"/>
      <c r="G4" s="82"/>
      <c r="H4" s="82"/>
    </row>
    <row r="5" spans="1:8" x14ac:dyDescent="0.35">
      <c r="B5" s="83"/>
      <c r="C5" s="83"/>
      <c r="D5" s="83"/>
      <c r="E5" s="84"/>
      <c r="F5" s="84"/>
      <c r="G5" s="84"/>
      <c r="H5" s="84"/>
    </row>
    <row r="6" spans="1:8" x14ac:dyDescent="0.35">
      <c r="A6" s="81" t="s">
        <v>284</v>
      </c>
      <c r="B6" s="204" t="str">
        <f>Дано!B6</f>
        <v>Навальный Алексей «ФБК»</v>
      </c>
      <c r="C6" s="204"/>
      <c r="D6" s="204"/>
      <c r="E6" s="82"/>
      <c r="F6" s="82"/>
      <c r="G6" s="82"/>
      <c r="H6" s="82"/>
    </row>
    <row r="7" spans="1:8" ht="14.5" thickBot="1" x14ac:dyDescent="0.4">
      <c r="B7" s="83"/>
      <c r="C7" s="83"/>
      <c r="D7" s="83"/>
      <c r="E7" s="84"/>
      <c r="F7" s="84"/>
      <c r="G7" s="84"/>
      <c r="H7" s="84"/>
    </row>
    <row r="8" spans="1:8" s="89" customFormat="1" ht="28" x14ac:dyDescent="0.35">
      <c r="A8" s="85" t="s">
        <v>285</v>
      </c>
      <c r="B8" s="86" t="s">
        <v>293</v>
      </c>
      <c r="C8" s="86" t="s">
        <v>286</v>
      </c>
      <c r="D8" s="87" t="s">
        <v>287</v>
      </c>
      <c r="E8" s="88"/>
      <c r="F8" s="88"/>
      <c r="G8" s="88"/>
      <c r="H8" s="88"/>
    </row>
    <row r="9" spans="1:8" s="89" customFormat="1" x14ac:dyDescent="0.3">
      <c r="A9" s="90" t="str">
        <f>Дано!B2</f>
        <v>001-01/20</v>
      </c>
      <c r="B9" s="91" t="str">
        <f>Дано!B17</f>
        <v>Subaru Outback</v>
      </c>
      <c r="C9" s="91" t="str">
        <f>Дано!B18</f>
        <v>08KG848ААА</v>
      </c>
      <c r="D9" s="92">
        <f>Дано!B13</f>
        <v>2500</v>
      </c>
      <c r="E9" s="88"/>
      <c r="F9" s="88"/>
      <c r="G9" s="88"/>
      <c r="H9" s="88"/>
    </row>
    <row r="10" spans="1:8" s="89" customFormat="1" ht="14.5" thickBot="1" x14ac:dyDescent="0.35">
      <c r="A10" s="205" t="s">
        <v>288</v>
      </c>
      <c r="B10" s="206"/>
      <c r="C10" s="207"/>
      <c r="D10" s="93">
        <f>SUM(D9:D9)</f>
        <v>2500</v>
      </c>
      <c r="E10" s="88"/>
      <c r="F10" s="88"/>
      <c r="G10" s="88"/>
      <c r="H10" s="88"/>
    </row>
    <row r="11" spans="1:8" x14ac:dyDescent="0.35">
      <c r="B11" s="83"/>
      <c r="C11" s="83"/>
      <c r="D11" s="83"/>
      <c r="E11" s="84"/>
      <c r="F11" s="84"/>
      <c r="G11" s="84"/>
      <c r="H11" s="84"/>
    </row>
    <row r="12" spans="1:8" x14ac:dyDescent="0.35">
      <c r="A12" s="94" t="str">
        <f>"Всего оказано услуг на сумму: "&amp;D10&amp;",00 ("&amp;Дано!B14&amp;" сом, 00 тыйын)."</f>
        <v>Всего оказано услуг на сумму: 2500,00 (Две тысячи пятьсот сом, 00 тыйын).</v>
      </c>
      <c r="B12" s="94"/>
      <c r="C12" s="94"/>
      <c r="D12" s="94"/>
      <c r="E12" s="94"/>
      <c r="F12" s="94"/>
      <c r="G12" s="94"/>
      <c r="H12" s="94"/>
    </row>
    <row r="13" spans="1:8" x14ac:dyDescent="0.35">
      <c r="B13" s="83"/>
      <c r="C13" s="83"/>
      <c r="D13" s="83"/>
      <c r="E13" s="95"/>
      <c r="F13" s="95"/>
      <c r="G13" s="95"/>
      <c r="H13" s="95"/>
    </row>
    <row r="14" spans="1:8" x14ac:dyDescent="0.35">
      <c r="A14" s="94" t="s">
        <v>289</v>
      </c>
      <c r="B14" s="94"/>
      <c r="C14" s="94"/>
      <c r="D14" s="94"/>
      <c r="E14" s="94"/>
      <c r="F14" s="94"/>
      <c r="G14" s="94"/>
      <c r="H14" s="94"/>
    </row>
    <row r="15" spans="1:8" x14ac:dyDescent="0.35">
      <c r="B15" s="83"/>
      <c r="C15" s="83"/>
      <c r="D15" s="83"/>
      <c r="E15" s="95"/>
      <c r="F15" s="95"/>
      <c r="G15" s="95"/>
      <c r="H15" s="95"/>
    </row>
    <row r="16" spans="1:8" x14ac:dyDescent="0.35">
      <c r="A16" s="94" t="s">
        <v>290</v>
      </c>
      <c r="B16" s="94"/>
      <c r="C16" s="94"/>
      <c r="D16" s="94"/>
      <c r="E16" s="94"/>
      <c r="F16" s="94"/>
      <c r="G16" s="94"/>
      <c r="H16" s="94"/>
    </row>
    <row r="17" spans="1:8" x14ac:dyDescent="0.35">
      <c r="B17" s="84"/>
      <c r="C17" s="84"/>
      <c r="D17" s="84"/>
      <c r="E17" s="84"/>
      <c r="F17" s="84"/>
      <c r="G17" s="84"/>
      <c r="H17" s="84"/>
    </row>
    <row r="18" spans="1:8" x14ac:dyDescent="0.35">
      <c r="B18" s="84"/>
      <c r="C18" s="84"/>
      <c r="D18" s="84"/>
      <c r="E18" s="84"/>
      <c r="F18" s="84"/>
      <c r="G18" s="84"/>
      <c r="H18" s="84"/>
    </row>
    <row r="19" spans="1:8" x14ac:dyDescent="0.35">
      <c r="A19" s="208" t="s">
        <v>291</v>
      </c>
      <c r="B19" s="208"/>
      <c r="C19" s="208" t="s">
        <v>292</v>
      </c>
      <c r="D19" s="208"/>
      <c r="F19" s="95"/>
      <c r="G19" s="95"/>
      <c r="H19" s="95"/>
    </row>
    <row r="20" spans="1:8" x14ac:dyDescent="0.35">
      <c r="A20" s="201" t="s">
        <v>16</v>
      </c>
      <c r="B20" s="201"/>
      <c r="C20" s="201" t="s">
        <v>16</v>
      </c>
      <c r="D20" s="201"/>
    </row>
    <row r="21" spans="1:8" x14ac:dyDescent="0.35">
      <c r="B21" s="84"/>
      <c r="C21" s="84"/>
      <c r="D21" s="84"/>
      <c r="E21" s="84"/>
      <c r="F21" s="84"/>
      <c r="G21" s="84"/>
      <c r="H21" s="84"/>
    </row>
    <row r="22" spans="1:8" x14ac:dyDescent="0.35">
      <c r="B22" s="83"/>
      <c r="C22" s="83"/>
      <c r="D22" s="83"/>
      <c r="E22" s="84"/>
      <c r="F22" s="84"/>
      <c r="G22" s="84"/>
      <c r="H22" s="84"/>
    </row>
    <row r="23" spans="1:8" x14ac:dyDescent="0.35">
      <c r="B23" s="84"/>
      <c r="C23" s="84"/>
      <c r="D23" s="84"/>
      <c r="E23" s="84"/>
      <c r="F23" s="84"/>
      <c r="G23" s="84"/>
      <c r="H23" s="84"/>
    </row>
    <row r="24" spans="1:8" x14ac:dyDescent="0.35">
      <c r="B24" s="84"/>
      <c r="C24" s="84"/>
      <c r="D24" s="84"/>
      <c r="E24" s="84"/>
      <c r="F24" s="84"/>
      <c r="G24" s="84"/>
      <c r="H24" s="84"/>
    </row>
    <row r="25" spans="1:8" x14ac:dyDescent="0.35">
      <c r="B25" s="84"/>
      <c r="C25" s="84"/>
      <c r="D25" s="84"/>
      <c r="E25" s="84"/>
      <c r="F25" s="84"/>
      <c r="G25" s="84"/>
      <c r="H25" s="84"/>
    </row>
    <row r="26" spans="1:8" x14ac:dyDescent="0.35">
      <c r="B26" s="84"/>
      <c r="C26" s="84"/>
      <c r="D26" s="84"/>
      <c r="E26" s="84"/>
      <c r="F26" s="84"/>
      <c r="G26" s="84"/>
      <c r="H26" s="84"/>
    </row>
    <row r="27" spans="1:8" x14ac:dyDescent="0.35">
      <c r="B27" s="84"/>
      <c r="C27" s="84"/>
      <c r="D27" s="84"/>
      <c r="E27" s="84"/>
      <c r="F27" s="84"/>
      <c r="G27" s="84"/>
      <c r="H27" s="84"/>
    </row>
    <row r="28" spans="1:8" x14ac:dyDescent="0.35">
      <c r="B28" s="84"/>
      <c r="C28" s="84"/>
      <c r="D28" s="84"/>
      <c r="E28" s="84"/>
      <c r="F28" s="84"/>
      <c r="G28" s="84"/>
      <c r="H28" s="84"/>
    </row>
    <row r="29" spans="1:8" x14ac:dyDescent="0.35">
      <c r="B29" s="84"/>
      <c r="C29" s="84"/>
      <c r="D29" s="84"/>
      <c r="E29" s="84"/>
      <c r="F29" s="84"/>
      <c r="G29" s="84"/>
      <c r="H29" s="84"/>
    </row>
    <row r="30" spans="1:8" x14ac:dyDescent="0.35">
      <c r="B30" s="84"/>
      <c r="C30" s="84"/>
      <c r="D30" s="84"/>
      <c r="E30" s="84"/>
      <c r="F30" s="84"/>
      <c r="G30" s="84"/>
      <c r="H30" s="84"/>
    </row>
    <row r="31" spans="1:8" x14ac:dyDescent="0.35">
      <c r="B31" s="84"/>
      <c r="C31" s="84"/>
      <c r="D31" s="84"/>
      <c r="E31" s="84"/>
      <c r="F31" s="84"/>
      <c r="G31" s="84"/>
      <c r="H31" s="84"/>
    </row>
    <row r="32" spans="1:8" x14ac:dyDescent="0.35">
      <c r="B32" s="84"/>
      <c r="C32" s="84"/>
      <c r="D32" s="84"/>
      <c r="E32" s="84"/>
      <c r="F32" s="84"/>
      <c r="G32" s="84"/>
      <c r="H32" s="84"/>
    </row>
    <row r="33" spans="2:8" x14ac:dyDescent="0.35">
      <c r="B33" s="84"/>
      <c r="C33" s="84"/>
      <c r="D33" s="84"/>
      <c r="E33" s="84"/>
      <c r="F33" s="84"/>
      <c r="G33" s="84"/>
      <c r="H33" s="84"/>
    </row>
    <row r="34" spans="2:8" x14ac:dyDescent="0.35">
      <c r="B34" s="84"/>
      <c r="C34" s="84"/>
      <c r="D34" s="84"/>
      <c r="E34" s="84"/>
      <c r="F34" s="84"/>
      <c r="G34" s="84"/>
      <c r="H34" s="84"/>
    </row>
    <row r="35" spans="2:8" x14ac:dyDescent="0.35">
      <c r="B35" s="84"/>
      <c r="C35" s="84"/>
      <c r="D35" s="84"/>
      <c r="E35" s="84"/>
      <c r="F35" s="84"/>
      <c r="G35" s="84"/>
      <c r="H35" s="84"/>
    </row>
    <row r="36" spans="2:8" x14ac:dyDescent="0.35">
      <c r="B36" s="84"/>
      <c r="C36" s="84"/>
      <c r="D36" s="84"/>
      <c r="E36" s="84"/>
      <c r="F36" s="84"/>
      <c r="G36" s="84"/>
      <c r="H36" s="84"/>
    </row>
    <row r="37" spans="2:8" x14ac:dyDescent="0.35">
      <c r="B37" s="84"/>
      <c r="C37" s="84"/>
      <c r="D37" s="84"/>
      <c r="E37" s="84"/>
      <c r="F37" s="84"/>
      <c r="G37" s="84"/>
      <c r="H37" s="84"/>
    </row>
    <row r="38" spans="2:8" x14ac:dyDescent="0.35">
      <c r="B38" s="84"/>
      <c r="C38" s="84"/>
      <c r="D38" s="84"/>
      <c r="E38" s="84"/>
      <c r="F38" s="84"/>
      <c r="G38" s="84"/>
      <c r="H38" s="84"/>
    </row>
    <row r="39" spans="2:8" x14ac:dyDescent="0.35">
      <c r="B39" s="84"/>
      <c r="C39" s="84"/>
      <c r="D39" s="84"/>
      <c r="E39" s="84"/>
      <c r="F39" s="84"/>
      <c r="G39" s="84"/>
      <c r="H39" s="84"/>
    </row>
    <row r="40" spans="2:8" x14ac:dyDescent="0.35">
      <c r="B40" s="84"/>
      <c r="C40" s="84"/>
      <c r="D40" s="84"/>
      <c r="E40" s="84"/>
      <c r="F40" s="84"/>
      <c r="G40" s="84"/>
      <c r="H40" s="84"/>
    </row>
    <row r="41" spans="2:8" x14ac:dyDescent="0.35">
      <c r="B41" s="84"/>
      <c r="C41" s="84"/>
      <c r="D41" s="84"/>
      <c r="E41" s="84"/>
      <c r="F41" s="84"/>
      <c r="G41" s="84"/>
      <c r="H41" s="84"/>
    </row>
    <row r="42" spans="2:8" x14ac:dyDescent="0.35">
      <c r="B42" s="84"/>
      <c r="C42" s="84"/>
      <c r="D42" s="84"/>
      <c r="E42" s="84"/>
      <c r="F42" s="84"/>
      <c r="G42" s="84"/>
      <c r="H42" s="84"/>
    </row>
    <row r="43" spans="2:8" x14ac:dyDescent="0.35">
      <c r="B43" s="84"/>
      <c r="C43" s="84"/>
      <c r="D43" s="84"/>
      <c r="E43" s="84"/>
      <c r="F43" s="84"/>
      <c r="G43" s="84"/>
      <c r="H43" s="84"/>
    </row>
    <row r="44" spans="2:8" x14ac:dyDescent="0.35">
      <c r="B44" s="84"/>
      <c r="C44" s="84"/>
      <c r="D44" s="84"/>
      <c r="E44" s="84"/>
      <c r="F44" s="84"/>
      <c r="G44" s="84"/>
      <c r="H44" s="84"/>
    </row>
    <row r="45" spans="2:8" x14ac:dyDescent="0.35">
      <c r="B45" s="84"/>
      <c r="C45" s="84"/>
      <c r="D45" s="84"/>
      <c r="E45" s="84"/>
      <c r="F45" s="84"/>
      <c r="G45" s="84"/>
      <c r="H45" s="84"/>
    </row>
    <row r="46" spans="2:8" x14ac:dyDescent="0.35">
      <c r="B46" s="84"/>
      <c r="C46" s="84"/>
      <c r="D46" s="84"/>
      <c r="E46" s="84"/>
      <c r="F46" s="84"/>
      <c r="G46" s="84"/>
      <c r="H46" s="84"/>
    </row>
    <row r="47" spans="2:8" x14ac:dyDescent="0.35">
      <c r="B47" s="84"/>
      <c r="C47" s="84"/>
      <c r="D47" s="84"/>
      <c r="E47" s="84"/>
      <c r="F47" s="84"/>
      <c r="G47" s="84"/>
      <c r="H47" s="84"/>
    </row>
    <row r="48" spans="2:8" x14ac:dyDescent="0.35">
      <c r="B48" s="84"/>
      <c r="C48" s="84"/>
      <c r="D48" s="84"/>
      <c r="E48" s="84"/>
      <c r="F48" s="84"/>
      <c r="G48" s="84"/>
      <c r="H48" s="84"/>
    </row>
    <row r="49" spans="2:8" x14ac:dyDescent="0.35">
      <c r="B49" s="84"/>
      <c r="C49" s="84"/>
      <c r="D49" s="84"/>
      <c r="E49" s="84"/>
      <c r="F49" s="84"/>
      <c r="G49" s="84"/>
      <c r="H49" s="84"/>
    </row>
    <row r="50" spans="2:8" x14ac:dyDescent="0.35">
      <c r="B50" s="84"/>
      <c r="C50" s="84"/>
      <c r="D50" s="84"/>
      <c r="E50" s="84"/>
      <c r="F50" s="84"/>
      <c r="G50" s="84"/>
      <c r="H50" s="84"/>
    </row>
    <row r="51" spans="2:8" x14ac:dyDescent="0.35">
      <c r="B51" s="84"/>
      <c r="C51" s="84"/>
      <c r="D51" s="84"/>
      <c r="E51" s="84"/>
      <c r="F51" s="84"/>
      <c r="G51" s="84"/>
      <c r="H51" s="84"/>
    </row>
    <row r="52" spans="2:8" x14ac:dyDescent="0.35">
      <c r="B52" s="84"/>
      <c r="C52" s="84"/>
      <c r="D52" s="84"/>
      <c r="E52" s="84"/>
      <c r="F52" s="84"/>
      <c r="G52" s="84"/>
      <c r="H52" s="84"/>
    </row>
    <row r="53" spans="2:8" x14ac:dyDescent="0.35">
      <c r="B53" s="84"/>
      <c r="C53" s="84"/>
      <c r="D53" s="84"/>
      <c r="E53" s="84"/>
      <c r="F53" s="84"/>
      <c r="G53" s="84"/>
      <c r="H53" s="84"/>
    </row>
    <row r="54" spans="2:8" x14ac:dyDescent="0.35">
      <c r="B54" s="84"/>
      <c r="C54" s="84"/>
      <c r="D54" s="84"/>
      <c r="E54" s="84"/>
      <c r="F54" s="84"/>
      <c r="G54" s="84"/>
      <c r="H54" s="84"/>
    </row>
    <row r="55" spans="2:8" x14ac:dyDescent="0.35">
      <c r="B55" s="84"/>
      <c r="C55" s="84"/>
      <c r="D55" s="84"/>
      <c r="E55" s="84"/>
      <c r="F55" s="84"/>
      <c r="G55" s="84"/>
      <c r="H55" s="84"/>
    </row>
    <row r="56" spans="2:8" x14ac:dyDescent="0.35">
      <c r="B56" s="84"/>
      <c r="C56" s="84"/>
      <c r="D56" s="84"/>
      <c r="E56" s="84"/>
      <c r="F56" s="84"/>
      <c r="G56" s="84"/>
      <c r="H56" s="84"/>
    </row>
    <row r="57" spans="2:8" x14ac:dyDescent="0.35">
      <c r="B57" s="84"/>
      <c r="C57" s="84"/>
      <c r="D57" s="84"/>
      <c r="E57" s="84"/>
      <c r="F57" s="84"/>
      <c r="G57" s="84"/>
      <c r="H57" s="84"/>
    </row>
  </sheetData>
  <mergeCells count="9">
    <mergeCell ref="A20:B20"/>
    <mergeCell ref="C20:D20"/>
    <mergeCell ref="A1:D1"/>
    <mergeCell ref="A2:D2"/>
    <mergeCell ref="B4:D4"/>
    <mergeCell ref="B6:D6"/>
    <mergeCell ref="A10:C10"/>
    <mergeCell ref="A19:B19"/>
    <mergeCell ref="C19:D19"/>
  </mergeCells>
  <pageMargins left="0.39370078740157483" right="0.39370078740157483" top="0.39370078740157483" bottom="0.39370078740157483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1"/>
  <sheetViews>
    <sheetView topLeftCell="B1" workbookViewId="0">
      <selection activeCell="L2" sqref="L2"/>
    </sheetView>
  </sheetViews>
  <sheetFormatPr defaultColWidth="9.26953125" defaultRowHeight="14.5" x14ac:dyDescent="0.35"/>
  <cols>
    <col min="1" max="1" width="3.81640625" style="27" customWidth="1"/>
    <col min="2" max="2" width="56.26953125" style="27" bestFit="1" customWidth="1"/>
    <col min="3" max="3" width="7" style="118" bestFit="1" customWidth="1"/>
    <col min="4" max="4" width="11.26953125" style="118" bestFit="1" customWidth="1"/>
    <col min="5" max="5" width="11.54296875" style="118" bestFit="1" customWidth="1"/>
    <col min="6" max="6" width="9.26953125" style="27"/>
    <col min="7" max="12" width="11.7265625" style="27" customWidth="1"/>
    <col min="13" max="16384" width="9.26953125" style="27"/>
  </cols>
  <sheetData>
    <row r="1" spans="1:12" x14ac:dyDescent="0.35">
      <c r="A1" s="116" t="s">
        <v>4</v>
      </c>
      <c r="B1" s="116" t="s">
        <v>100</v>
      </c>
      <c r="C1" s="119" t="s">
        <v>54</v>
      </c>
      <c r="D1" s="119" t="s">
        <v>55</v>
      </c>
      <c r="E1" s="119" t="s">
        <v>56</v>
      </c>
      <c r="F1" s="41"/>
      <c r="G1" s="42" t="s">
        <v>100</v>
      </c>
      <c r="H1" s="42" t="s">
        <v>101</v>
      </c>
      <c r="I1" s="42" t="s">
        <v>102</v>
      </c>
      <c r="J1" s="42" t="s">
        <v>257</v>
      </c>
      <c r="K1" s="42" t="s">
        <v>103</v>
      </c>
      <c r="L1" s="42" t="s">
        <v>104</v>
      </c>
    </row>
    <row r="2" spans="1:12" x14ac:dyDescent="0.35">
      <c r="A2" s="30"/>
      <c r="B2" s="30"/>
      <c r="C2" s="117"/>
      <c r="D2" s="120"/>
      <c r="E2" s="120"/>
      <c r="G2" s="44">
        <v>0</v>
      </c>
      <c r="H2" s="44">
        <v>0</v>
      </c>
      <c r="I2" s="44">
        <v>0</v>
      </c>
      <c r="J2" s="44">
        <f>УТС!H2</f>
        <v>0</v>
      </c>
      <c r="K2" s="47">
        <f>G2+H2+I2+J2</f>
        <v>0</v>
      </c>
      <c r="L2" s="43">
        <f>ROUND(K2/Дано!B32,2)</f>
        <v>0</v>
      </c>
    </row>
    <row r="3" spans="1:12" x14ac:dyDescent="0.35">
      <c r="A3" s="30"/>
      <c r="B3" s="30"/>
      <c r="C3" s="117"/>
      <c r="D3" s="120"/>
      <c r="E3" s="120"/>
      <c r="G3" s="209" t="s">
        <v>297</v>
      </c>
      <c r="H3" s="209"/>
    </row>
    <row r="4" spans="1:12" x14ac:dyDescent="0.35">
      <c r="A4" s="30"/>
      <c r="B4" s="30"/>
      <c r="C4" s="117"/>
      <c r="D4" s="120"/>
      <c r="E4" s="120"/>
      <c r="G4" s="44"/>
      <c r="H4" s="44"/>
    </row>
    <row r="5" spans="1:12" x14ac:dyDescent="0.35">
      <c r="A5" s="30"/>
      <c r="B5" s="30"/>
      <c r="C5" s="117"/>
      <c r="D5" s="120"/>
      <c r="E5" s="120"/>
    </row>
    <row r="6" spans="1:12" x14ac:dyDescent="0.35">
      <c r="A6" s="30"/>
      <c r="B6" s="30"/>
      <c r="C6" s="117"/>
      <c r="D6" s="120"/>
      <c r="E6" s="120"/>
    </row>
    <row r="7" spans="1:12" x14ac:dyDescent="0.35">
      <c r="A7" s="30"/>
      <c r="B7" s="30"/>
      <c r="C7" s="117"/>
      <c r="D7" s="120"/>
      <c r="E7" s="120"/>
    </row>
    <row r="8" spans="1:12" x14ac:dyDescent="0.35">
      <c r="A8" s="30"/>
      <c r="B8" s="30"/>
      <c r="C8" s="117"/>
      <c r="D8" s="120"/>
      <c r="E8" s="120"/>
    </row>
    <row r="9" spans="1:12" x14ac:dyDescent="0.35">
      <c r="A9" s="30"/>
      <c r="B9" s="30"/>
      <c r="C9" s="117"/>
      <c r="D9" s="120"/>
      <c r="E9" s="120"/>
    </row>
    <row r="10" spans="1:12" x14ac:dyDescent="0.35">
      <c r="A10" s="30"/>
      <c r="B10" s="30"/>
      <c r="C10" s="117"/>
      <c r="D10" s="120"/>
      <c r="E10" s="120"/>
    </row>
    <row r="11" spans="1:12" x14ac:dyDescent="0.35">
      <c r="A11" s="30"/>
      <c r="B11" s="30"/>
      <c r="C11" s="117"/>
      <c r="D11" s="120"/>
      <c r="E11" s="120"/>
    </row>
    <row r="12" spans="1:12" x14ac:dyDescent="0.35">
      <c r="A12" s="30"/>
      <c r="B12" s="30"/>
      <c r="C12" s="117"/>
      <c r="D12" s="120"/>
      <c r="E12" s="120"/>
    </row>
    <row r="13" spans="1:12" x14ac:dyDescent="0.35">
      <c r="A13" s="30"/>
      <c r="B13" s="30"/>
      <c r="C13" s="117"/>
      <c r="D13" s="120"/>
      <c r="E13" s="120"/>
    </row>
    <row r="14" spans="1:12" x14ac:dyDescent="0.35">
      <c r="A14" s="30"/>
      <c r="B14" s="30"/>
      <c r="C14" s="117"/>
      <c r="D14" s="120"/>
      <c r="E14" s="120"/>
    </row>
    <row r="15" spans="1:12" x14ac:dyDescent="0.35">
      <c r="A15" s="30"/>
      <c r="B15" s="30"/>
      <c r="C15" s="117"/>
      <c r="D15" s="120"/>
      <c r="E15" s="120"/>
    </row>
    <row r="16" spans="1:12" x14ac:dyDescent="0.35">
      <c r="A16" s="30"/>
      <c r="B16" s="30"/>
      <c r="C16" s="117"/>
      <c r="D16" s="120"/>
      <c r="E16" s="120"/>
      <c r="G16" s="37"/>
    </row>
    <row r="17" spans="1:5" x14ac:dyDescent="0.35">
      <c r="A17" s="30"/>
      <c r="B17" s="30"/>
      <c r="C17" s="117"/>
      <c r="D17" s="120"/>
      <c r="E17" s="120"/>
    </row>
    <row r="18" spans="1:5" x14ac:dyDescent="0.35">
      <c r="A18" s="30"/>
      <c r="B18" s="30"/>
      <c r="C18" s="117"/>
      <c r="D18" s="120"/>
      <c r="E18" s="120"/>
    </row>
    <row r="19" spans="1:5" x14ac:dyDescent="0.35">
      <c r="A19" s="30"/>
      <c r="B19" s="30"/>
      <c r="C19" s="117"/>
      <c r="D19" s="120"/>
      <c r="E19" s="120"/>
    </row>
    <row r="20" spans="1:5" x14ac:dyDescent="0.35">
      <c r="A20" s="30"/>
      <c r="B20" s="30"/>
      <c r="C20" s="117"/>
      <c r="D20" s="120"/>
      <c r="E20" s="120"/>
    </row>
    <row r="21" spans="1:5" x14ac:dyDescent="0.35">
      <c r="A21" s="30"/>
      <c r="B21" s="30"/>
      <c r="C21" s="117"/>
      <c r="D21" s="120"/>
      <c r="E21" s="120"/>
    </row>
    <row r="22" spans="1:5" x14ac:dyDescent="0.35">
      <c r="A22" s="30"/>
      <c r="B22" s="30"/>
      <c r="C22" s="117"/>
      <c r="D22" s="120"/>
      <c r="E22" s="120"/>
    </row>
    <row r="23" spans="1:5" x14ac:dyDescent="0.35">
      <c r="A23" s="30"/>
      <c r="B23" s="30"/>
      <c r="C23" s="117"/>
      <c r="D23" s="120"/>
      <c r="E23" s="120"/>
    </row>
    <row r="24" spans="1:5" x14ac:dyDescent="0.35">
      <c r="A24" s="30"/>
      <c r="B24" s="30"/>
      <c r="C24" s="117"/>
      <c r="D24" s="120"/>
      <c r="E24" s="120"/>
    </row>
    <row r="25" spans="1:5" x14ac:dyDescent="0.35">
      <c r="A25" s="30"/>
      <c r="B25" s="30"/>
      <c r="C25" s="117"/>
      <c r="D25" s="120"/>
      <c r="E25" s="120"/>
    </row>
    <row r="26" spans="1:5" x14ac:dyDescent="0.35">
      <c r="A26" s="30"/>
      <c r="B26" s="30"/>
      <c r="C26" s="117"/>
      <c r="D26" s="120"/>
      <c r="E26" s="120"/>
    </row>
    <row r="27" spans="1:5" x14ac:dyDescent="0.35">
      <c r="A27" s="30"/>
      <c r="B27" s="30"/>
      <c r="C27" s="117"/>
      <c r="D27" s="120"/>
      <c r="E27" s="120"/>
    </row>
    <row r="28" spans="1:5" x14ac:dyDescent="0.35">
      <c r="A28" s="30"/>
      <c r="B28" s="30"/>
      <c r="C28" s="117"/>
      <c r="D28" s="120"/>
      <c r="E28" s="120"/>
    </row>
    <row r="29" spans="1:5" x14ac:dyDescent="0.35">
      <c r="A29" s="30"/>
      <c r="B29" s="30"/>
      <c r="C29" s="117"/>
      <c r="D29" s="120"/>
      <c r="E29" s="120"/>
    </row>
    <row r="30" spans="1:5" x14ac:dyDescent="0.35">
      <c r="A30" s="30"/>
      <c r="B30" s="30"/>
      <c r="C30" s="117"/>
      <c r="D30" s="120"/>
      <c r="E30" s="120"/>
    </row>
    <row r="31" spans="1:5" x14ac:dyDescent="0.35">
      <c r="A31" s="30"/>
      <c r="B31" s="30"/>
      <c r="C31" s="117"/>
      <c r="D31" s="120"/>
      <c r="E31" s="120"/>
    </row>
    <row r="32" spans="1:5" x14ac:dyDescent="0.35">
      <c r="A32" s="30"/>
      <c r="B32" s="30"/>
      <c r="C32" s="117"/>
      <c r="D32" s="120"/>
      <c r="E32" s="120"/>
    </row>
    <row r="33" spans="1:5" x14ac:dyDescent="0.35">
      <c r="A33" s="30"/>
      <c r="B33" s="30"/>
      <c r="C33" s="117"/>
      <c r="D33" s="120"/>
      <c r="E33" s="120"/>
    </row>
    <row r="34" spans="1:5" x14ac:dyDescent="0.35">
      <c r="A34" s="30"/>
      <c r="B34" s="30"/>
      <c r="C34" s="117"/>
      <c r="D34" s="120"/>
      <c r="E34" s="120"/>
    </row>
    <row r="35" spans="1:5" x14ac:dyDescent="0.35">
      <c r="A35" s="30"/>
      <c r="B35" s="30"/>
      <c r="C35" s="117"/>
      <c r="D35" s="120"/>
      <c r="E35" s="120"/>
    </row>
    <row r="36" spans="1:5" x14ac:dyDescent="0.35">
      <c r="A36" s="30"/>
      <c r="B36" s="30"/>
      <c r="C36" s="117"/>
      <c r="D36" s="120"/>
      <c r="E36" s="120"/>
    </row>
    <row r="37" spans="1:5" x14ac:dyDescent="0.35">
      <c r="A37" s="30"/>
      <c r="B37" s="30"/>
      <c r="C37" s="117"/>
      <c r="D37" s="120"/>
      <c r="E37" s="120"/>
    </row>
    <row r="38" spans="1:5" x14ac:dyDescent="0.35">
      <c r="A38" s="30"/>
      <c r="B38" s="30"/>
      <c r="C38" s="117"/>
      <c r="D38" s="120"/>
      <c r="E38" s="120"/>
    </row>
    <row r="39" spans="1:5" x14ac:dyDescent="0.35">
      <c r="A39" s="30"/>
      <c r="B39" s="30"/>
      <c r="C39" s="117"/>
      <c r="D39" s="120"/>
      <c r="E39" s="120"/>
    </row>
    <row r="40" spans="1:5" x14ac:dyDescent="0.35">
      <c r="A40" s="30"/>
      <c r="B40" s="30"/>
      <c r="C40" s="117"/>
      <c r="D40" s="120"/>
      <c r="E40" s="120"/>
    </row>
    <row r="41" spans="1:5" x14ac:dyDescent="0.35">
      <c r="A41" s="30"/>
      <c r="B41" s="30"/>
      <c r="C41" s="117"/>
      <c r="D41" s="120"/>
      <c r="E41" s="120"/>
    </row>
    <row r="42" spans="1:5" x14ac:dyDescent="0.35">
      <c r="A42" s="30"/>
      <c r="B42" s="30"/>
      <c r="C42" s="117"/>
      <c r="D42" s="120"/>
      <c r="E42" s="120"/>
    </row>
    <row r="43" spans="1:5" x14ac:dyDescent="0.35">
      <c r="A43" s="30"/>
      <c r="B43" s="30"/>
      <c r="C43" s="117"/>
      <c r="D43" s="120"/>
      <c r="E43" s="120"/>
    </row>
    <row r="44" spans="1:5" x14ac:dyDescent="0.35">
      <c r="A44" s="30"/>
      <c r="B44" s="30"/>
      <c r="C44" s="117"/>
      <c r="D44" s="120"/>
      <c r="E44" s="120"/>
    </row>
    <row r="45" spans="1:5" x14ac:dyDescent="0.35">
      <c r="A45" s="30"/>
      <c r="B45" s="30"/>
      <c r="C45" s="117"/>
      <c r="D45" s="120"/>
      <c r="E45" s="120"/>
    </row>
    <row r="46" spans="1:5" x14ac:dyDescent="0.35">
      <c r="A46" s="30"/>
      <c r="B46" s="30"/>
      <c r="C46" s="117"/>
      <c r="D46" s="120"/>
      <c r="E46" s="120"/>
    </row>
    <row r="47" spans="1:5" x14ac:dyDescent="0.35">
      <c r="A47" s="30"/>
      <c r="B47" s="30"/>
      <c r="C47" s="117"/>
      <c r="D47" s="120"/>
      <c r="E47" s="120"/>
    </row>
    <row r="48" spans="1:5" x14ac:dyDescent="0.35">
      <c r="A48" s="30"/>
      <c r="B48" s="30"/>
      <c r="C48" s="117"/>
      <c r="D48" s="120"/>
      <c r="E48" s="120"/>
    </row>
    <row r="49" spans="1:5" x14ac:dyDescent="0.35">
      <c r="A49" s="30"/>
      <c r="B49" s="30"/>
      <c r="C49" s="117"/>
      <c r="D49" s="120"/>
      <c r="E49" s="120"/>
    </row>
    <row r="50" spans="1:5" x14ac:dyDescent="0.35">
      <c r="A50" s="30"/>
      <c r="B50" s="30"/>
      <c r="C50" s="117"/>
      <c r="D50" s="120"/>
      <c r="E50" s="120"/>
    </row>
    <row r="51" spans="1:5" x14ac:dyDescent="0.35">
      <c r="A51" s="30"/>
      <c r="B51" s="30"/>
      <c r="C51" s="117"/>
      <c r="D51" s="120"/>
      <c r="E51" s="120"/>
    </row>
    <row r="52" spans="1:5" x14ac:dyDescent="0.35">
      <c r="A52" s="30"/>
      <c r="B52" s="30"/>
      <c r="C52" s="117"/>
      <c r="D52" s="120"/>
      <c r="E52" s="120"/>
    </row>
    <row r="53" spans="1:5" x14ac:dyDescent="0.35">
      <c r="A53" s="30"/>
      <c r="B53" s="30"/>
      <c r="C53" s="117"/>
      <c r="D53" s="120"/>
      <c r="E53" s="120"/>
    </row>
    <row r="54" spans="1:5" x14ac:dyDescent="0.35">
      <c r="A54" s="30"/>
      <c r="B54" s="30"/>
      <c r="C54" s="117"/>
      <c r="D54" s="120"/>
      <c r="E54" s="120"/>
    </row>
    <row r="55" spans="1:5" x14ac:dyDescent="0.35">
      <c r="A55" s="30"/>
      <c r="B55" s="30"/>
      <c r="C55" s="117"/>
      <c r="D55" s="120"/>
      <c r="E55" s="120"/>
    </row>
    <row r="56" spans="1:5" x14ac:dyDescent="0.35">
      <c r="A56" s="30"/>
      <c r="B56" s="30"/>
      <c r="C56" s="117"/>
      <c r="D56" s="120"/>
      <c r="E56" s="120"/>
    </row>
    <row r="57" spans="1:5" x14ac:dyDescent="0.35">
      <c r="A57" s="30"/>
      <c r="B57" s="30"/>
      <c r="C57" s="117"/>
      <c r="D57" s="120"/>
      <c r="E57" s="120"/>
    </row>
    <row r="58" spans="1:5" x14ac:dyDescent="0.35">
      <c r="A58" s="30"/>
      <c r="B58" s="30"/>
      <c r="C58" s="117"/>
      <c r="D58" s="120"/>
      <c r="E58" s="120"/>
    </row>
    <row r="59" spans="1:5" x14ac:dyDescent="0.35">
      <c r="A59" s="30"/>
      <c r="B59" s="30"/>
      <c r="C59" s="117"/>
      <c r="D59" s="120"/>
      <c r="E59" s="120"/>
    </row>
    <row r="60" spans="1:5" x14ac:dyDescent="0.35">
      <c r="A60" s="30"/>
      <c r="B60" s="30"/>
      <c r="C60" s="117"/>
      <c r="D60" s="120"/>
      <c r="E60" s="120"/>
    </row>
    <row r="61" spans="1:5" x14ac:dyDescent="0.35">
      <c r="A61" s="30"/>
      <c r="B61" s="30"/>
      <c r="C61" s="117"/>
      <c r="D61" s="120"/>
      <c r="E61" s="120"/>
    </row>
    <row r="62" spans="1:5" x14ac:dyDescent="0.35">
      <c r="A62" s="30"/>
      <c r="B62" s="30"/>
      <c r="C62" s="117"/>
      <c r="D62" s="120"/>
      <c r="E62" s="120"/>
    </row>
    <row r="63" spans="1:5" x14ac:dyDescent="0.35">
      <c r="A63" s="30"/>
      <c r="B63" s="30"/>
      <c r="C63" s="117"/>
      <c r="D63" s="120"/>
      <c r="E63" s="120"/>
    </row>
    <row r="64" spans="1:5" x14ac:dyDescent="0.35">
      <c r="A64" s="30"/>
      <c r="B64" s="30"/>
      <c r="C64" s="117"/>
      <c r="D64" s="120"/>
      <c r="E64" s="120"/>
    </row>
    <row r="65" spans="1:5" x14ac:dyDescent="0.35">
      <c r="A65" s="30"/>
      <c r="B65" s="30"/>
      <c r="C65" s="117"/>
      <c r="D65" s="120"/>
      <c r="E65" s="120"/>
    </row>
    <row r="66" spans="1:5" x14ac:dyDescent="0.35">
      <c r="A66" s="30"/>
      <c r="B66" s="30"/>
      <c r="C66" s="117"/>
      <c r="D66" s="120"/>
      <c r="E66" s="120"/>
    </row>
    <row r="67" spans="1:5" x14ac:dyDescent="0.35">
      <c r="A67" s="30"/>
      <c r="B67" s="30"/>
      <c r="C67" s="117"/>
      <c r="D67" s="120"/>
      <c r="E67" s="120"/>
    </row>
    <row r="68" spans="1:5" x14ac:dyDescent="0.35">
      <c r="A68" s="30"/>
      <c r="B68" s="30"/>
      <c r="C68" s="117"/>
      <c r="D68" s="120"/>
      <c r="E68" s="120"/>
    </row>
    <row r="69" spans="1:5" x14ac:dyDescent="0.35">
      <c r="A69" s="30"/>
      <c r="B69" s="30"/>
      <c r="C69" s="117"/>
      <c r="D69" s="120"/>
      <c r="E69" s="120"/>
    </row>
    <row r="70" spans="1:5" x14ac:dyDescent="0.35">
      <c r="A70" s="30"/>
      <c r="B70" s="30"/>
      <c r="C70" s="117"/>
      <c r="D70" s="120"/>
      <c r="E70" s="120"/>
    </row>
    <row r="71" spans="1:5" x14ac:dyDescent="0.35">
      <c r="A71" s="30"/>
      <c r="B71" s="30"/>
      <c r="C71" s="117"/>
      <c r="D71" s="120"/>
      <c r="E71" s="120"/>
    </row>
    <row r="72" spans="1:5" x14ac:dyDescent="0.35">
      <c r="A72" s="30"/>
      <c r="B72" s="30"/>
      <c r="C72" s="117"/>
      <c r="D72" s="120"/>
      <c r="E72" s="120"/>
    </row>
    <row r="73" spans="1:5" x14ac:dyDescent="0.35">
      <c r="A73" s="30"/>
      <c r="B73" s="30"/>
      <c r="C73" s="117"/>
      <c r="D73" s="120"/>
      <c r="E73" s="120"/>
    </row>
    <row r="74" spans="1:5" x14ac:dyDescent="0.35">
      <c r="A74" s="30"/>
      <c r="B74" s="30"/>
      <c r="C74" s="117"/>
      <c r="D74" s="120"/>
      <c r="E74" s="120"/>
    </row>
    <row r="75" spans="1:5" x14ac:dyDescent="0.35">
      <c r="A75" s="30"/>
      <c r="B75" s="30"/>
      <c r="C75" s="117"/>
      <c r="D75" s="120"/>
      <c r="E75" s="120"/>
    </row>
    <row r="76" spans="1:5" x14ac:dyDescent="0.35">
      <c r="A76" s="30"/>
      <c r="B76" s="30"/>
      <c r="C76" s="117"/>
      <c r="D76" s="120"/>
      <c r="E76" s="120"/>
    </row>
    <row r="77" spans="1:5" x14ac:dyDescent="0.35">
      <c r="A77" s="30"/>
      <c r="B77" s="30"/>
      <c r="C77" s="117"/>
      <c r="D77" s="120"/>
      <c r="E77" s="120"/>
    </row>
    <row r="78" spans="1:5" x14ac:dyDescent="0.35">
      <c r="A78" s="30"/>
      <c r="B78" s="30"/>
      <c r="C78" s="117"/>
      <c r="D78" s="120"/>
      <c r="E78" s="120"/>
    </row>
    <row r="79" spans="1:5" x14ac:dyDescent="0.35">
      <c r="A79" s="30"/>
      <c r="B79" s="30"/>
      <c r="C79" s="117"/>
      <c r="D79" s="120"/>
      <c r="E79" s="120"/>
    </row>
    <row r="80" spans="1:5" x14ac:dyDescent="0.35">
      <c r="A80" s="30"/>
      <c r="B80" s="30"/>
      <c r="C80" s="117"/>
      <c r="D80" s="120"/>
      <c r="E80" s="120"/>
    </row>
    <row r="81" spans="1:5" x14ac:dyDescent="0.35">
      <c r="A81" s="30"/>
      <c r="B81" s="30"/>
      <c r="C81" s="117"/>
      <c r="D81" s="120"/>
      <c r="E81" s="120"/>
    </row>
    <row r="82" spans="1:5" x14ac:dyDescent="0.35">
      <c r="A82" s="30"/>
      <c r="B82" s="30"/>
      <c r="C82" s="117"/>
      <c r="D82" s="120"/>
      <c r="E82" s="120"/>
    </row>
    <row r="83" spans="1:5" x14ac:dyDescent="0.35">
      <c r="A83" s="30"/>
      <c r="B83" s="30"/>
      <c r="C83" s="117"/>
      <c r="D83" s="120"/>
      <c r="E83" s="120"/>
    </row>
    <row r="84" spans="1:5" x14ac:dyDescent="0.35">
      <c r="A84" s="30"/>
      <c r="B84" s="30"/>
      <c r="C84" s="117"/>
      <c r="D84" s="120"/>
      <c r="E84" s="120"/>
    </row>
    <row r="85" spans="1:5" x14ac:dyDescent="0.35">
      <c r="A85" s="30"/>
      <c r="B85" s="30"/>
      <c r="C85" s="117"/>
      <c r="D85" s="120"/>
      <c r="E85" s="120"/>
    </row>
    <row r="86" spans="1:5" x14ac:dyDescent="0.35">
      <c r="A86" s="30"/>
      <c r="B86" s="30"/>
      <c r="C86" s="117"/>
      <c r="D86" s="120"/>
      <c r="E86" s="120"/>
    </row>
    <row r="87" spans="1:5" x14ac:dyDescent="0.35">
      <c r="A87" s="30"/>
      <c r="B87" s="30"/>
      <c r="C87" s="117"/>
      <c r="D87" s="120"/>
      <c r="E87" s="120"/>
    </row>
    <row r="88" spans="1:5" x14ac:dyDescent="0.35">
      <c r="A88" s="30"/>
      <c r="B88" s="30"/>
      <c r="C88" s="117"/>
      <c r="D88" s="120"/>
      <c r="E88" s="120"/>
    </row>
    <row r="89" spans="1:5" x14ac:dyDescent="0.35">
      <c r="A89" s="30"/>
      <c r="B89" s="30"/>
      <c r="C89" s="117"/>
      <c r="D89" s="120"/>
      <c r="E89" s="120"/>
    </row>
    <row r="90" spans="1:5" x14ac:dyDescent="0.35">
      <c r="A90" s="30"/>
      <c r="B90" s="30"/>
      <c r="C90" s="117"/>
      <c r="D90" s="120"/>
      <c r="E90" s="120"/>
    </row>
    <row r="91" spans="1:5" x14ac:dyDescent="0.35">
      <c r="A91" s="30"/>
      <c r="B91" s="30"/>
      <c r="C91" s="117"/>
      <c r="D91" s="120"/>
      <c r="E91" s="120"/>
    </row>
    <row r="92" spans="1:5" x14ac:dyDescent="0.35">
      <c r="A92" s="30"/>
      <c r="B92" s="30"/>
      <c r="C92" s="117"/>
      <c r="D92" s="120"/>
      <c r="E92" s="120"/>
    </row>
    <row r="93" spans="1:5" x14ac:dyDescent="0.35">
      <c r="A93" s="30"/>
      <c r="B93" s="30"/>
      <c r="C93" s="117"/>
      <c r="D93" s="120"/>
      <c r="E93" s="120"/>
    </row>
    <row r="94" spans="1:5" x14ac:dyDescent="0.35">
      <c r="A94" s="30"/>
      <c r="B94" s="30"/>
      <c r="C94" s="117"/>
      <c r="D94" s="120"/>
      <c r="E94" s="120"/>
    </row>
    <row r="95" spans="1:5" x14ac:dyDescent="0.35">
      <c r="A95" s="30"/>
      <c r="B95" s="30"/>
      <c r="C95" s="117"/>
      <c r="D95" s="120"/>
      <c r="E95" s="120"/>
    </row>
    <row r="96" spans="1:5" x14ac:dyDescent="0.35">
      <c r="A96" s="30"/>
      <c r="B96" s="30"/>
      <c r="C96" s="117"/>
      <c r="D96" s="120"/>
      <c r="E96" s="120"/>
    </row>
    <row r="97" spans="1:5" x14ac:dyDescent="0.35">
      <c r="A97" s="30"/>
      <c r="B97" s="30"/>
      <c r="C97" s="117"/>
      <c r="D97" s="120"/>
      <c r="E97" s="120"/>
    </row>
    <row r="98" spans="1:5" x14ac:dyDescent="0.35">
      <c r="A98" s="30"/>
      <c r="B98" s="30"/>
      <c r="C98" s="117"/>
      <c r="D98" s="120"/>
      <c r="E98" s="120"/>
    </row>
    <row r="99" spans="1:5" x14ac:dyDescent="0.35">
      <c r="A99" s="30"/>
      <c r="B99" s="30"/>
      <c r="C99" s="117"/>
      <c r="D99" s="120"/>
      <c r="E99" s="120"/>
    </row>
    <row r="100" spans="1:5" x14ac:dyDescent="0.35">
      <c r="A100" s="30"/>
      <c r="B100" s="30"/>
      <c r="C100" s="117"/>
      <c r="D100" s="120"/>
      <c r="E100" s="120"/>
    </row>
    <row r="101" spans="1:5" x14ac:dyDescent="0.35">
      <c r="A101" s="30"/>
      <c r="B101" s="30"/>
      <c r="C101" s="117"/>
      <c r="D101" s="120"/>
      <c r="E101" s="120"/>
    </row>
    <row r="102" spans="1:5" x14ac:dyDescent="0.35">
      <c r="A102" s="30"/>
      <c r="B102" s="30"/>
      <c r="C102" s="117"/>
      <c r="D102" s="120"/>
      <c r="E102" s="120"/>
    </row>
    <row r="103" spans="1:5" x14ac:dyDescent="0.35">
      <c r="A103" s="30"/>
      <c r="B103" s="30"/>
      <c r="C103" s="117"/>
      <c r="D103" s="120"/>
      <c r="E103" s="120"/>
    </row>
    <row r="104" spans="1:5" x14ac:dyDescent="0.35">
      <c r="A104" s="30"/>
      <c r="B104" s="30"/>
      <c r="C104" s="117"/>
      <c r="D104" s="120"/>
      <c r="E104" s="120"/>
    </row>
    <row r="105" spans="1:5" x14ac:dyDescent="0.35">
      <c r="A105" s="30"/>
      <c r="B105" s="30"/>
      <c r="C105" s="117"/>
      <c r="D105" s="120"/>
      <c r="E105" s="120"/>
    </row>
    <row r="106" spans="1:5" x14ac:dyDescent="0.35">
      <c r="A106" s="30"/>
      <c r="B106" s="30"/>
      <c r="C106" s="117"/>
      <c r="D106" s="120"/>
      <c r="E106" s="120"/>
    </row>
    <row r="107" spans="1:5" x14ac:dyDescent="0.35">
      <c r="A107" s="30"/>
      <c r="B107" s="30"/>
      <c r="C107" s="117"/>
      <c r="D107" s="120"/>
      <c r="E107" s="120"/>
    </row>
    <row r="108" spans="1:5" x14ac:dyDescent="0.35">
      <c r="A108" s="30"/>
      <c r="B108" s="30"/>
      <c r="C108" s="117"/>
      <c r="D108" s="120"/>
      <c r="E108" s="120"/>
    </row>
    <row r="109" spans="1:5" x14ac:dyDescent="0.35">
      <c r="A109" s="30"/>
      <c r="B109" s="30"/>
      <c r="C109" s="117"/>
      <c r="D109" s="120"/>
      <c r="E109" s="120"/>
    </row>
    <row r="110" spans="1:5" x14ac:dyDescent="0.35">
      <c r="A110" s="30"/>
      <c r="B110" s="30"/>
      <c r="C110" s="117"/>
      <c r="D110" s="120"/>
      <c r="E110" s="120"/>
    </row>
    <row r="111" spans="1:5" x14ac:dyDescent="0.35">
      <c r="A111" s="30"/>
      <c r="B111" s="30"/>
      <c r="C111" s="117"/>
      <c r="D111" s="120"/>
      <c r="E111" s="120"/>
    </row>
    <row r="112" spans="1:5" x14ac:dyDescent="0.35">
      <c r="A112" s="30"/>
      <c r="B112" s="30"/>
      <c r="C112" s="117"/>
      <c r="D112" s="120"/>
      <c r="E112" s="120"/>
    </row>
    <row r="113" spans="1:5" x14ac:dyDescent="0.35">
      <c r="A113" s="30"/>
      <c r="B113" s="30"/>
      <c r="C113" s="117"/>
      <c r="D113" s="120"/>
      <c r="E113" s="120"/>
    </row>
    <row r="114" spans="1:5" x14ac:dyDescent="0.35">
      <c r="A114" s="30"/>
      <c r="B114" s="30"/>
      <c r="C114" s="117"/>
      <c r="D114" s="120"/>
      <c r="E114" s="120"/>
    </row>
    <row r="115" spans="1:5" x14ac:dyDescent="0.35">
      <c r="A115" s="30"/>
      <c r="B115" s="30"/>
      <c r="C115" s="117"/>
      <c r="D115" s="120"/>
      <c r="E115" s="120"/>
    </row>
    <row r="116" spans="1:5" x14ac:dyDescent="0.35">
      <c r="A116" s="30"/>
      <c r="B116" s="30"/>
      <c r="C116" s="117"/>
      <c r="D116" s="120"/>
      <c r="E116" s="120"/>
    </row>
    <row r="117" spans="1:5" x14ac:dyDescent="0.35">
      <c r="A117" s="30"/>
      <c r="B117" s="30"/>
      <c r="C117" s="117"/>
      <c r="D117" s="120"/>
      <c r="E117" s="120"/>
    </row>
    <row r="118" spans="1:5" x14ac:dyDescent="0.35">
      <c r="A118" s="30"/>
      <c r="B118" s="30"/>
      <c r="C118" s="117"/>
      <c r="D118" s="120"/>
      <c r="E118" s="120"/>
    </row>
    <row r="119" spans="1:5" x14ac:dyDescent="0.35">
      <c r="A119" s="30"/>
      <c r="B119" s="30"/>
      <c r="C119" s="117"/>
      <c r="D119" s="120"/>
      <c r="E119" s="120"/>
    </row>
    <row r="120" spans="1:5" x14ac:dyDescent="0.35">
      <c r="A120" s="30"/>
      <c r="B120" s="30"/>
      <c r="C120" s="117"/>
      <c r="D120" s="120"/>
      <c r="E120" s="120"/>
    </row>
    <row r="121" spans="1:5" x14ac:dyDescent="0.35">
      <c r="A121" s="30"/>
      <c r="B121" s="30"/>
      <c r="C121" s="117"/>
      <c r="D121" s="120"/>
      <c r="E121" s="120"/>
    </row>
    <row r="122" spans="1:5" x14ac:dyDescent="0.35">
      <c r="A122" s="30"/>
      <c r="B122" s="30"/>
      <c r="C122" s="117"/>
      <c r="D122" s="120"/>
      <c r="E122" s="120"/>
    </row>
    <row r="123" spans="1:5" x14ac:dyDescent="0.35">
      <c r="A123" s="30"/>
      <c r="B123" s="30"/>
      <c r="C123" s="117"/>
      <c r="D123" s="120"/>
      <c r="E123" s="120"/>
    </row>
    <row r="124" spans="1:5" x14ac:dyDescent="0.35">
      <c r="A124" s="30"/>
      <c r="B124" s="30"/>
      <c r="C124" s="117"/>
      <c r="D124" s="120"/>
      <c r="E124" s="120"/>
    </row>
    <row r="125" spans="1:5" x14ac:dyDescent="0.35">
      <c r="A125" s="30"/>
      <c r="B125" s="30"/>
      <c r="C125" s="117"/>
      <c r="D125" s="120"/>
      <c r="E125" s="120"/>
    </row>
    <row r="126" spans="1:5" x14ac:dyDescent="0.35">
      <c r="A126" s="30"/>
      <c r="B126" s="30"/>
      <c r="C126" s="117"/>
      <c r="D126" s="120"/>
      <c r="E126" s="120"/>
    </row>
    <row r="127" spans="1:5" x14ac:dyDescent="0.35">
      <c r="A127" s="30"/>
      <c r="B127" s="30"/>
      <c r="C127" s="117"/>
      <c r="D127" s="120"/>
      <c r="E127" s="120"/>
    </row>
    <row r="128" spans="1:5" x14ac:dyDescent="0.35">
      <c r="A128" s="30"/>
      <c r="B128" s="30"/>
      <c r="C128" s="117"/>
      <c r="D128" s="120"/>
      <c r="E128" s="120"/>
    </row>
    <row r="129" spans="1:5" x14ac:dyDescent="0.35">
      <c r="A129" s="30"/>
      <c r="B129" s="30"/>
      <c r="C129" s="117"/>
      <c r="D129" s="120"/>
      <c r="E129" s="120"/>
    </row>
    <row r="130" spans="1:5" x14ac:dyDescent="0.35">
      <c r="A130" s="30"/>
      <c r="B130" s="30"/>
      <c r="C130" s="117"/>
      <c r="D130" s="120"/>
      <c r="E130" s="120"/>
    </row>
    <row r="131" spans="1:5" x14ac:dyDescent="0.35">
      <c r="A131" s="30"/>
      <c r="B131" s="30"/>
      <c r="C131" s="117"/>
      <c r="D131" s="120"/>
      <c r="E131" s="120"/>
    </row>
    <row r="132" spans="1:5" x14ac:dyDescent="0.35">
      <c r="A132" s="30"/>
      <c r="B132" s="30"/>
      <c r="C132" s="117"/>
      <c r="D132" s="120"/>
      <c r="E132" s="120"/>
    </row>
    <row r="133" spans="1:5" x14ac:dyDescent="0.35">
      <c r="A133" s="30"/>
      <c r="B133" s="30"/>
      <c r="C133" s="117"/>
      <c r="D133" s="120"/>
      <c r="E133" s="120"/>
    </row>
    <row r="134" spans="1:5" x14ac:dyDescent="0.35">
      <c r="A134" s="30"/>
      <c r="B134" s="30"/>
      <c r="C134" s="117"/>
      <c r="D134" s="120"/>
      <c r="E134" s="120"/>
    </row>
    <row r="135" spans="1:5" x14ac:dyDescent="0.35">
      <c r="A135" s="30"/>
      <c r="B135" s="30"/>
      <c r="C135" s="117"/>
      <c r="D135" s="120"/>
      <c r="E135" s="120"/>
    </row>
    <row r="136" spans="1:5" x14ac:dyDescent="0.35">
      <c r="A136" s="30"/>
      <c r="B136" s="30"/>
      <c r="C136" s="117"/>
      <c r="D136" s="120"/>
      <c r="E136" s="120"/>
    </row>
    <row r="137" spans="1:5" x14ac:dyDescent="0.35">
      <c r="A137" s="30"/>
      <c r="B137" s="30"/>
      <c r="C137" s="117"/>
      <c r="D137" s="120"/>
      <c r="E137" s="120"/>
    </row>
    <row r="138" spans="1:5" x14ac:dyDescent="0.35">
      <c r="A138" s="30"/>
      <c r="B138" s="30"/>
      <c r="C138" s="117"/>
      <c r="D138" s="120"/>
      <c r="E138" s="120"/>
    </row>
    <row r="139" spans="1:5" x14ac:dyDescent="0.35">
      <c r="A139" s="30"/>
      <c r="B139" s="30"/>
      <c r="C139" s="117"/>
      <c r="D139" s="120"/>
      <c r="E139" s="120"/>
    </row>
    <row r="140" spans="1:5" x14ac:dyDescent="0.35">
      <c r="A140" s="30"/>
      <c r="B140" s="30"/>
      <c r="C140" s="117"/>
      <c r="D140" s="120"/>
      <c r="E140" s="120"/>
    </row>
    <row r="141" spans="1:5" x14ac:dyDescent="0.35">
      <c r="A141" s="30"/>
      <c r="B141" s="30"/>
      <c r="C141" s="117"/>
      <c r="D141" s="120"/>
      <c r="E141" s="120"/>
    </row>
    <row r="142" spans="1:5" x14ac:dyDescent="0.35">
      <c r="A142" s="30"/>
      <c r="B142" s="30"/>
      <c r="C142" s="117"/>
      <c r="D142" s="120"/>
      <c r="E142" s="120"/>
    </row>
    <row r="143" spans="1:5" x14ac:dyDescent="0.35">
      <c r="A143" s="30"/>
      <c r="B143" s="30"/>
      <c r="C143" s="117"/>
      <c r="D143" s="120"/>
      <c r="E143" s="120"/>
    </row>
    <row r="144" spans="1:5" x14ac:dyDescent="0.35">
      <c r="A144" s="30"/>
      <c r="B144" s="30"/>
      <c r="C144" s="117"/>
      <c r="D144" s="120"/>
      <c r="E144" s="120"/>
    </row>
    <row r="145" spans="1:5" x14ac:dyDescent="0.35">
      <c r="A145" s="30"/>
      <c r="B145" s="30"/>
      <c r="C145" s="117"/>
      <c r="D145" s="120"/>
      <c r="E145" s="120"/>
    </row>
    <row r="146" spans="1:5" x14ac:dyDescent="0.35">
      <c r="A146" s="30"/>
      <c r="B146" s="30"/>
      <c r="C146" s="117"/>
      <c r="D146" s="120"/>
      <c r="E146" s="120"/>
    </row>
    <row r="147" spans="1:5" x14ac:dyDescent="0.35">
      <c r="A147" s="30"/>
      <c r="B147" s="30"/>
      <c r="C147" s="117"/>
      <c r="D147" s="120"/>
      <c r="E147" s="120"/>
    </row>
    <row r="148" spans="1:5" x14ac:dyDescent="0.35">
      <c r="A148" s="30"/>
      <c r="B148" s="30"/>
      <c r="C148" s="117"/>
      <c r="D148" s="120"/>
      <c r="E148" s="120"/>
    </row>
    <row r="149" spans="1:5" x14ac:dyDescent="0.35">
      <c r="A149" s="30"/>
      <c r="B149" s="30"/>
      <c r="C149" s="117"/>
      <c r="D149" s="120"/>
      <c r="E149" s="120"/>
    </row>
    <row r="150" spans="1:5" x14ac:dyDescent="0.35">
      <c r="A150" s="30"/>
      <c r="B150" s="30"/>
      <c r="C150" s="117"/>
      <c r="D150" s="120"/>
      <c r="E150" s="120"/>
    </row>
    <row r="151" spans="1:5" x14ac:dyDescent="0.35">
      <c r="A151" s="30"/>
      <c r="B151" s="30"/>
      <c r="C151" s="117"/>
      <c r="D151" s="120"/>
      <c r="E151" s="120"/>
    </row>
    <row r="152" spans="1:5" x14ac:dyDescent="0.35">
      <c r="A152" s="30"/>
      <c r="B152" s="30"/>
      <c r="C152" s="117"/>
      <c r="D152" s="120"/>
      <c r="E152" s="120"/>
    </row>
    <row r="153" spans="1:5" x14ac:dyDescent="0.35">
      <c r="A153" s="30"/>
      <c r="B153" s="30"/>
      <c r="C153" s="117"/>
      <c r="D153" s="120"/>
      <c r="E153" s="120"/>
    </row>
    <row r="154" spans="1:5" x14ac:dyDescent="0.35">
      <c r="A154" s="30"/>
      <c r="B154" s="30"/>
      <c r="C154" s="117"/>
      <c r="D154" s="120"/>
      <c r="E154" s="120"/>
    </row>
    <row r="155" spans="1:5" x14ac:dyDescent="0.35">
      <c r="A155" s="30"/>
      <c r="B155" s="30"/>
      <c r="C155" s="117"/>
      <c r="D155" s="120"/>
      <c r="E155" s="120"/>
    </row>
    <row r="156" spans="1:5" x14ac:dyDescent="0.35">
      <c r="A156" s="30"/>
      <c r="B156" s="30"/>
      <c r="C156" s="117"/>
      <c r="D156" s="120"/>
      <c r="E156" s="120"/>
    </row>
    <row r="157" spans="1:5" x14ac:dyDescent="0.35">
      <c r="A157" s="30"/>
      <c r="B157" s="30"/>
      <c r="C157" s="117"/>
      <c r="D157" s="120"/>
      <c r="E157" s="120"/>
    </row>
    <row r="158" spans="1:5" x14ac:dyDescent="0.35">
      <c r="A158" s="30"/>
      <c r="B158" s="30"/>
      <c r="C158" s="117"/>
      <c r="D158" s="120"/>
      <c r="E158" s="120"/>
    </row>
    <row r="159" spans="1:5" x14ac:dyDescent="0.35">
      <c r="A159" s="30"/>
      <c r="B159" s="30"/>
      <c r="C159" s="117"/>
      <c r="D159" s="120"/>
      <c r="E159" s="120"/>
    </row>
    <row r="160" spans="1:5" x14ac:dyDescent="0.35">
      <c r="A160" s="30"/>
      <c r="B160" s="30"/>
      <c r="C160" s="117"/>
      <c r="D160" s="120"/>
      <c r="E160" s="120"/>
    </row>
    <row r="161" spans="1:5" x14ac:dyDescent="0.35">
      <c r="A161" s="30"/>
      <c r="B161" s="30"/>
      <c r="C161" s="117"/>
      <c r="D161" s="120"/>
      <c r="E161" s="120"/>
    </row>
    <row r="162" spans="1:5" x14ac:dyDescent="0.35">
      <c r="A162" s="30"/>
      <c r="B162" s="30"/>
      <c r="C162" s="117"/>
      <c r="D162" s="120"/>
      <c r="E162" s="120"/>
    </row>
    <row r="163" spans="1:5" x14ac:dyDescent="0.35">
      <c r="A163" s="30"/>
      <c r="B163" s="30"/>
      <c r="C163" s="117"/>
      <c r="D163" s="120"/>
      <c r="E163" s="120"/>
    </row>
    <row r="164" spans="1:5" x14ac:dyDescent="0.35">
      <c r="A164" s="30"/>
      <c r="B164" s="30"/>
      <c r="C164" s="117"/>
      <c r="D164" s="120"/>
      <c r="E164" s="120"/>
    </row>
    <row r="165" spans="1:5" x14ac:dyDescent="0.35">
      <c r="A165" s="30"/>
      <c r="B165" s="30"/>
      <c r="C165" s="117"/>
      <c r="D165" s="120"/>
      <c r="E165" s="120"/>
    </row>
    <row r="166" spans="1:5" x14ac:dyDescent="0.35">
      <c r="A166" s="30"/>
      <c r="B166" s="30"/>
      <c r="C166" s="117"/>
      <c r="D166" s="120"/>
      <c r="E166" s="120"/>
    </row>
    <row r="167" spans="1:5" x14ac:dyDescent="0.35">
      <c r="A167" s="30"/>
      <c r="B167" s="30"/>
      <c r="C167" s="117"/>
      <c r="D167" s="120"/>
      <c r="E167" s="120"/>
    </row>
    <row r="168" spans="1:5" x14ac:dyDescent="0.35">
      <c r="A168" s="30"/>
      <c r="B168" s="30"/>
      <c r="C168" s="117"/>
      <c r="D168" s="120"/>
      <c r="E168" s="120"/>
    </row>
    <row r="169" spans="1:5" x14ac:dyDescent="0.35">
      <c r="A169" s="30"/>
      <c r="B169" s="30"/>
      <c r="C169" s="117"/>
      <c r="D169" s="120"/>
      <c r="E169" s="120"/>
    </row>
    <row r="170" spans="1:5" x14ac:dyDescent="0.35">
      <c r="A170" s="30"/>
      <c r="B170" s="30"/>
      <c r="C170" s="117"/>
      <c r="D170" s="120"/>
      <c r="E170" s="120"/>
    </row>
    <row r="171" spans="1:5" x14ac:dyDescent="0.35">
      <c r="A171" s="30"/>
      <c r="B171" s="30"/>
      <c r="C171" s="117"/>
      <c r="D171" s="120"/>
      <c r="E171" s="120"/>
    </row>
    <row r="172" spans="1:5" x14ac:dyDescent="0.35">
      <c r="A172" s="30"/>
      <c r="B172" s="30"/>
      <c r="C172" s="117"/>
      <c r="D172" s="120"/>
      <c r="E172" s="120"/>
    </row>
    <row r="173" spans="1:5" x14ac:dyDescent="0.35">
      <c r="A173" s="30"/>
      <c r="B173" s="30"/>
      <c r="C173" s="117"/>
      <c r="D173" s="120"/>
      <c r="E173" s="120"/>
    </row>
    <row r="174" spans="1:5" x14ac:dyDescent="0.35">
      <c r="A174" s="30"/>
      <c r="B174" s="30"/>
      <c r="C174" s="117"/>
      <c r="D174" s="120"/>
      <c r="E174" s="120"/>
    </row>
    <row r="175" spans="1:5" x14ac:dyDescent="0.35">
      <c r="A175" s="30"/>
      <c r="B175" s="30"/>
      <c r="C175" s="117"/>
      <c r="D175" s="120"/>
      <c r="E175" s="120"/>
    </row>
    <row r="176" spans="1:5" x14ac:dyDescent="0.35">
      <c r="A176" s="30"/>
      <c r="B176" s="30"/>
      <c r="C176" s="117"/>
      <c r="D176" s="120"/>
      <c r="E176" s="120"/>
    </row>
    <row r="177" spans="1:5" x14ac:dyDescent="0.35">
      <c r="A177" s="30"/>
      <c r="B177" s="30"/>
      <c r="C177" s="117"/>
      <c r="D177" s="120"/>
      <c r="E177" s="120"/>
    </row>
    <row r="178" spans="1:5" x14ac:dyDescent="0.35">
      <c r="A178" s="30"/>
      <c r="B178" s="30"/>
      <c r="C178" s="117"/>
      <c r="D178" s="120"/>
      <c r="E178" s="120"/>
    </row>
    <row r="179" spans="1:5" x14ac:dyDescent="0.35">
      <c r="A179" s="30"/>
      <c r="B179" s="30"/>
      <c r="C179" s="117"/>
      <c r="D179" s="120"/>
      <c r="E179" s="120"/>
    </row>
    <row r="180" spans="1:5" x14ac:dyDescent="0.35">
      <c r="A180" s="30"/>
      <c r="B180" s="30"/>
      <c r="C180" s="117"/>
      <c r="D180" s="120"/>
      <c r="E180" s="120"/>
    </row>
    <row r="181" spans="1:5" x14ac:dyDescent="0.35">
      <c r="A181" s="30"/>
      <c r="B181" s="30"/>
      <c r="C181" s="117"/>
      <c r="D181" s="120"/>
      <c r="E181" s="120"/>
    </row>
    <row r="182" spans="1:5" x14ac:dyDescent="0.35">
      <c r="A182" s="30"/>
      <c r="B182" s="30"/>
      <c r="C182" s="117"/>
      <c r="D182" s="120"/>
      <c r="E182" s="120"/>
    </row>
    <row r="183" spans="1:5" x14ac:dyDescent="0.35">
      <c r="A183" s="30"/>
      <c r="B183" s="30"/>
      <c r="C183" s="117"/>
      <c r="D183" s="120"/>
      <c r="E183" s="120"/>
    </row>
    <row r="184" spans="1:5" x14ac:dyDescent="0.35">
      <c r="A184" s="30"/>
      <c r="B184" s="30"/>
      <c r="C184" s="117"/>
      <c r="D184" s="120"/>
      <c r="E184" s="120"/>
    </row>
    <row r="185" spans="1:5" x14ac:dyDescent="0.35">
      <c r="A185" s="30"/>
      <c r="B185" s="30"/>
      <c r="C185" s="117"/>
      <c r="D185" s="120"/>
      <c r="E185" s="120"/>
    </row>
    <row r="186" spans="1:5" x14ac:dyDescent="0.35">
      <c r="A186" s="30"/>
      <c r="B186" s="30"/>
      <c r="C186" s="117"/>
      <c r="D186" s="120"/>
      <c r="E186" s="120"/>
    </row>
    <row r="187" spans="1:5" x14ac:dyDescent="0.35">
      <c r="A187" s="30"/>
      <c r="B187" s="30"/>
      <c r="C187" s="117"/>
      <c r="D187" s="120"/>
      <c r="E187" s="120"/>
    </row>
    <row r="188" spans="1:5" x14ac:dyDescent="0.35">
      <c r="A188" s="30"/>
      <c r="B188" s="30"/>
      <c r="C188" s="117"/>
      <c r="D188" s="120"/>
      <c r="E188" s="120"/>
    </row>
    <row r="189" spans="1:5" x14ac:dyDescent="0.35">
      <c r="A189" s="30"/>
      <c r="B189" s="30"/>
      <c r="C189" s="117"/>
      <c r="D189" s="120"/>
      <c r="E189" s="120"/>
    </row>
    <row r="190" spans="1:5" x14ac:dyDescent="0.35">
      <c r="A190" s="30"/>
      <c r="B190" s="30"/>
      <c r="C190" s="117"/>
      <c r="D190" s="120"/>
      <c r="E190" s="120"/>
    </row>
    <row r="191" spans="1:5" x14ac:dyDescent="0.35">
      <c r="A191" s="30"/>
      <c r="B191" s="30"/>
      <c r="C191" s="117"/>
      <c r="D191" s="120"/>
      <c r="E191" s="120"/>
    </row>
    <row r="192" spans="1:5" x14ac:dyDescent="0.35">
      <c r="A192" s="30"/>
      <c r="B192" s="30"/>
      <c r="C192" s="117"/>
      <c r="D192" s="120"/>
      <c r="E192" s="120"/>
    </row>
    <row r="193" spans="1:5" x14ac:dyDescent="0.35">
      <c r="A193" s="30"/>
      <c r="B193" s="30"/>
      <c r="C193" s="117"/>
      <c r="D193" s="120"/>
      <c r="E193" s="120"/>
    </row>
    <row r="194" spans="1:5" x14ac:dyDescent="0.35">
      <c r="A194" s="30"/>
      <c r="B194" s="30"/>
      <c r="C194" s="117"/>
      <c r="D194" s="120"/>
      <c r="E194" s="120"/>
    </row>
    <row r="195" spans="1:5" x14ac:dyDescent="0.35">
      <c r="A195" s="30"/>
      <c r="B195" s="30"/>
      <c r="C195" s="117"/>
      <c r="D195" s="120"/>
      <c r="E195" s="120"/>
    </row>
    <row r="196" spans="1:5" x14ac:dyDescent="0.35">
      <c r="A196" s="30"/>
      <c r="B196" s="30"/>
      <c r="C196" s="117"/>
      <c r="D196" s="120"/>
      <c r="E196" s="120"/>
    </row>
    <row r="197" spans="1:5" x14ac:dyDescent="0.35">
      <c r="A197" s="30"/>
      <c r="B197" s="30"/>
      <c r="C197" s="117"/>
      <c r="D197" s="120"/>
      <c r="E197" s="120"/>
    </row>
    <row r="198" spans="1:5" x14ac:dyDescent="0.35">
      <c r="A198" s="30"/>
      <c r="B198" s="30"/>
      <c r="C198" s="117"/>
      <c r="D198" s="120"/>
      <c r="E198" s="120"/>
    </row>
    <row r="199" spans="1:5" x14ac:dyDescent="0.35">
      <c r="A199" s="30"/>
      <c r="B199" s="30"/>
      <c r="C199" s="117"/>
      <c r="D199" s="120"/>
      <c r="E199" s="120"/>
    </row>
    <row r="200" spans="1:5" x14ac:dyDescent="0.35">
      <c r="A200" s="30"/>
      <c r="B200" s="30"/>
      <c r="C200" s="117"/>
      <c r="D200" s="120"/>
      <c r="E200" s="120"/>
    </row>
    <row r="201" spans="1:5" x14ac:dyDescent="0.35">
      <c r="A201" s="30"/>
      <c r="B201" s="30"/>
      <c r="C201" s="117"/>
      <c r="D201" s="120"/>
      <c r="E201" s="120"/>
    </row>
    <row r="202" spans="1:5" x14ac:dyDescent="0.35">
      <c r="A202" s="30"/>
      <c r="B202" s="30"/>
      <c r="C202" s="117"/>
      <c r="D202" s="120"/>
      <c r="E202" s="120"/>
    </row>
    <row r="203" spans="1:5" x14ac:dyDescent="0.35">
      <c r="A203" s="30"/>
      <c r="B203" s="30"/>
      <c r="C203" s="117"/>
      <c r="D203" s="120"/>
      <c r="E203" s="120"/>
    </row>
    <row r="204" spans="1:5" x14ac:dyDescent="0.35">
      <c r="A204" s="30"/>
      <c r="B204" s="30"/>
      <c r="C204" s="117"/>
      <c r="D204" s="120"/>
      <c r="E204" s="120"/>
    </row>
    <row r="205" spans="1:5" x14ac:dyDescent="0.35">
      <c r="A205" s="30"/>
      <c r="B205" s="30"/>
      <c r="C205" s="117"/>
      <c r="D205" s="120"/>
      <c r="E205" s="120"/>
    </row>
    <row r="206" spans="1:5" x14ac:dyDescent="0.35">
      <c r="A206" s="30"/>
      <c r="B206" s="30"/>
      <c r="C206" s="117"/>
      <c r="D206" s="120"/>
      <c r="E206" s="120"/>
    </row>
    <row r="207" spans="1:5" x14ac:dyDescent="0.35">
      <c r="A207" s="30"/>
      <c r="B207" s="30"/>
      <c r="C207" s="117"/>
      <c r="D207" s="120"/>
      <c r="E207" s="120"/>
    </row>
    <row r="208" spans="1:5" x14ac:dyDescent="0.35">
      <c r="A208" s="30"/>
      <c r="B208" s="30"/>
      <c r="C208" s="117"/>
      <c r="D208" s="120"/>
      <c r="E208" s="120"/>
    </row>
    <row r="209" spans="1:5" x14ac:dyDescent="0.35">
      <c r="A209" s="30"/>
      <c r="B209" s="30"/>
      <c r="C209" s="117"/>
      <c r="D209" s="120"/>
      <c r="E209" s="120"/>
    </row>
    <row r="210" spans="1:5" x14ac:dyDescent="0.35">
      <c r="A210" s="30"/>
      <c r="B210" s="30"/>
      <c r="C210" s="117"/>
      <c r="D210" s="120"/>
      <c r="E210" s="120"/>
    </row>
    <row r="211" spans="1:5" x14ac:dyDescent="0.35">
      <c r="A211" s="30"/>
      <c r="B211" s="30"/>
      <c r="C211" s="117"/>
      <c r="D211" s="120"/>
      <c r="E211" s="120"/>
    </row>
    <row r="212" spans="1:5" x14ac:dyDescent="0.35">
      <c r="A212" s="30"/>
      <c r="B212" s="30"/>
      <c r="C212" s="117"/>
      <c r="D212" s="120"/>
      <c r="E212" s="120"/>
    </row>
    <row r="213" spans="1:5" x14ac:dyDescent="0.35">
      <c r="A213" s="30"/>
      <c r="B213" s="30"/>
      <c r="C213" s="117"/>
      <c r="D213" s="120"/>
      <c r="E213" s="120"/>
    </row>
    <row r="214" spans="1:5" x14ac:dyDescent="0.35">
      <c r="A214" s="30"/>
      <c r="B214" s="30"/>
      <c r="C214" s="117"/>
      <c r="D214" s="120"/>
      <c r="E214" s="120"/>
    </row>
    <row r="215" spans="1:5" x14ac:dyDescent="0.35">
      <c r="A215" s="30"/>
      <c r="B215" s="30"/>
      <c r="C215" s="117"/>
      <c r="D215" s="120"/>
      <c r="E215" s="120"/>
    </row>
    <row r="216" spans="1:5" x14ac:dyDescent="0.35">
      <c r="A216" s="30"/>
      <c r="B216" s="30"/>
      <c r="C216" s="117"/>
      <c r="D216" s="120"/>
      <c r="E216" s="120"/>
    </row>
    <row r="217" spans="1:5" x14ac:dyDescent="0.35">
      <c r="A217" s="30"/>
      <c r="B217" s="30"/>
      <c r="C217" s="117"/>
      <c r="D217" s="120"/>
      <c r="E217" s="120"/>
    </row>
    <row r="218" spans="1:5" x14ac:dyDescent="0.35">
      <c r="A218" s="30"/>
      <c r="B218" s="30"/>
      <c r="C218" s="117"/>
      <c r="D218" s="120"/>
      <c r="E218" s="120"/>
    </row>
    <row r="219" spans="1:5" x14ac:dyDescent="0.35">
      <c r="A219" s="30"/>
      <c r="B219" s="30"/>
      <c r="C219" s="117"/>
      <c r="D219" s="120"/>
      <c r="E219" s="120"/>
    </row>
    <row r="220" spans="1:5" x14ac:dyDescent="0.35">
      <c r="A220" s="30"/>
      <c r="B220" s="30"/>
      <c r="C220" s="117"/>
      <c r="D220" s="120"/>
      <c r="E220" s="120"/>
    </row>
    <row r="221" spans="1:5" x14ac:dyDescent="0.35">
      <c r="A221" s="30"/>
      <c r="B221" s="30"/>
      <c r="C221" s="117"/>
      <c r="D221" s="120"/>
      <c r="E221" s="120"/>
    </row>
    <row r="222" spans="1:5" x14ac:dyDescent="0.35">
      <c r="A222" s="30"/>
      <c r="B222" s="30"/>
      <c r="C222" s="117"/>
      <c r="D222" s="120"/>
      <c r="E222" s="120"/>
    </row>
    <row r="223" spans="1:5" x14ac:dyDescent="0.35">
      <c r="A223" s="30"/>
      <c r="B223" s="30"/>
      <c r="C223" s="117"/>
      <c r="D223" s="120"/>
      <c r="E223" s="120"/>
    </row>
    <row r="224" spans="1:5" x14ac:dyDescent="0.35">
      <c r="A224" s="30"/>
      <c r="B224" s="30"/>
      <c r="C224" s="117"/>
      <c r="D224" s="120"/>
      <c r="E224" s="120"/>
    </row>
    <row r="225" spans="1:5" x14ac:dyDescent="0.35">
      <c r="A225" s="30"/>
      <c r="B225" s="30"/>
      <c r="C225" s="117"/>
      <c r="D225" s="120"/>
      <c r="E225" s="120"/>
    </row>
    <row r="226" spans="1:5" x14ac:dyDescent="0.35">
      <c r="A226" s="30"/>
      <c r="B226" s="30"/>
      <c r="C226" s="117"/>
      <c r="D226" s="120"/>
      <c r="E226" s="120"/>
    </row>
    <row r="227" spans="1:5" x14ac:dyDescent="0.35">
      <c r="A227" s="30"/>
      <c r="B227" s="30"/>
      <c r="C227" s="117"/>
      <c r="D227" s="120"/>
      <c r="E227" s="120"/>
    </row>
    <row r="228" spans="1:5" x14ac:dyDescent="0.35">
      <c r="A228" s="30"/>
      <c r="B228" s="30"/>
      <c r="C228" s="117"/>
      <c r="D228" s="120"/>
      <c r="E228" s="120"/>
    </row>
    <row r="229" spans="1:5" x14ac:dyDescent="0.35">
      <c r="A229" s="30"/>
      <c r="B229" s="30"/>
      <c r="C229" s="117"/>
      <c r="D229" s="120"/>
      <c r="E229" s="120"/>
    </row>
    <row r="230" spans="1:5" x14ac:dyDescent="0.35">
      <c r="A230" s="30"/>
      <c r="B230" s="30"/>
      <c r="C230" s="117"/>
      <c r="D230" s="120"/>
      <c r="E230" s="120"/>
    </row>
    <row r="231" spans="1:5" x14ac:dyDescent="0.35">
      <c r="A231" s="30"/>
      <c r="B231" s="30"/>
      <c r="C231" s="117"/>
      <c r="D231" s="120"/>
      <c r="E231" s="120"/>
    </row>
    <row r="232" spans="1:5" x14ac:dyDescent="0.35">
      <c r="A232" s="30"/>
      <c r="B232" s="30"/>
      <c r="C232" s="117"/>
      <c r="D232" s="120"/>
      <c r="E232" s="120"/>
    </row>
    <row r="233" spans="1:5" x14ac:dyDescent="0.35">
      <c r="A233" s="30"/>
      <c r="B233" s="30"/>
      <c r="C233" s="117"/>
      <c r="D233" s="120"/>
      <c r="E233" s="120"/>
    </row>
    <row r="234" spans="1:5" x14ac:dyDescent="0.35">
      <c r="A234" s="30"/>
      <c r="B234" s="30"/>
      <c r="C234" s="117"/>
      <c r="D234" s="120"/>
      <c r="E234" s="120"/>
    </row>
    <row r="235" spans="1:5" x14ac:dyDescent="0.35">
      <c r="A235" s="30"/>
      <c r="B235" s="30"/>
      <c r="C235" s="117"/>
      <c r="D235" s="120"/>
      <c r="E235" s="120"/>
    </row>
    <row r="236" spans="1:5" x14ac:dyDescent="0.35">
      <c r="A236" s="30"/>
      <c r="B236" s="30"/>
      <c r="C236" s="117"/>
      <c r="D236" s="120"/>
      <c r="E236" s="120"/>
    </row>
    <row r="237" spans="1:5" x14ac:dyDescent="0.35">
      <c r="A237" s="30"/>
      <c r="B237" s="30"/>
      <c r="C237" s="117"/>
      <c r="D237" s="120"/>
      <c r="E237" s="120"/>
    </row>
    <row r="238" spans="1:5" x14ac:dyDescent="0.35">
      <c r="A238" s="30"/>
      <c r="B238" s="30"/>
      <c r="C238" s="117"/>
      <c r="D238" s="120"/>
      <c r="E238" s="120"/>
    </row>
    <row r="239" spans="1:5" x14ac:dyDescent="0.35">
      <c r="A239" s="30"/>
      <c r="B239" s="30"/>
      <c r="C239" s="117"/>
      <c r="D239" s="120"/>
      <c r="E239" s="120"/>
    </row>
    <row r="240" spans="1:5" x14ac:dyDescent="0.35">
      <c r="A240" s="30"/>
      <c r="B240" s="30"/>
      <c r="C240" s="117"/>
      <c r="D240" s="120"/>
      <c r="E240" s="120"/>
    </row>
    <row r="241" spans="1:5" x14ac:dyDescent="0.35">
      <c r="A241" s="30"/>
      <c r="B241" s="30"/>
      <c r="C241" s="117"/>
      <c r="D241" s="120"/>
      <c r="E241" s="120"/>
    </row>
    <row r="242" spans="1:5" x14ac:dyDescent="0.35">
      <c r="A242" s="30"/>
      <c r="B242" s="30"/>
      <c r="C242" s="117"/>
      <c r="D242" s="120"/>
      <c r="E242" s="120"/>
    </row>
    <row r="243" spans="1:5" x14ac:dyDescent="0.35">
      <c r="A243" s="30"/>
      <c r="B243" s="30"/>
      <c r="C243" s="117"/>
      <c r="D243" s="120"/>
      <c r="E243" s="120"/>
    </row>
    <row r="244" spans="1:5" x14ac:dyDescent="0.35">
      <c r="A244" s="30"/>
      <c r="B244" s="30"/>
      <c r="C244" s="117"/>
      <c r="D244" s="120"/>
      <c r="E244" s="120"/>
    </row>
    <row r="245" spans="1:5" x14ac:dyDescent="0.35">
      <c r="A245" s="30"/>
      <c r="B245" s="30"/>
      <c r="C245" s="117"/>
      <c r="D245" s="120"/>
      <c r="E245" s="120"/>
    </row>
    <row r="246" spans="1:5" x14ac:dyDescent="0.35">
      <c r="A246" s="30"/>
      <c r="B246" s="30"/>
      <c r="C246" s="117"/>
      <c r="D246" s="120"/>
      <c r="E246" s="120"/>
    </row>
    <row r="247" spans="1:5" x14ac:dyDescent="0.35">
      <c r="A247" s="30"/>
      <c r="B247" s="30"/>
      <c r="C247" s="117"/>
      <c r="D247" s="120"/>
      <c r="E247" s="120"/>
    </row>
    <row r="248" spans="1:5" x14ac:dyDescent="0.35">
      <c r="A248" s="30"/>
      <c r="B248" s="30"/>
      <c r="C248" s="117"/>
      <c r="D248" s="120"/>
      <c r="E248" s="120"/>
    </row>
    <row r="249" spans="1:5" x14ac:dyDescent="0.35">
      <c r="A249" s="30"/>
      <c r="B249" s="30"/>
      <c r="C249" s="117"/>
      <c r="D249" s="120"/>
      <c r="E249" s="120"/>
    </row>
    <row r="250" spans="1:5" x14ac:dyDescent="0.35">
      <c r="A250" s="30"/>
      <c r="B250" s="30"/>
      <c r="C250" s="117"/>
      <c r="D250" s="120"/>
      <c r="E250" s="120"/>
    </row>
    <row r="251" spans="1:5" x14ac:dyDescent="0.35">
      <c r="A251" s="30"/>
      <c r="B251" s="30"/>
      <c r="C251" s="117"/>
      <c r="D251" s="120"/>
      <c r="E251" s="120"/>
    </row>
    <row r="252" spans="1:5" x14ac:dyDescent="0.35">
      <c r="A252" s="30"/>
      <c r="B252" s="30"/>
      <c r="C252" s="117"/>
      <c r="D252" s="120"/>
      <c r="E252" s="120"/>
    </row>
    <row r="253" spans="1:5" x14ac:dyDescent="0.35">
      <c r="A253" s="30"/>
      <c r="B253" s="30"/>
      <c r="C253" s="117"/>
      <c r="D253" s="120"/>
      <c r="E253" s="120"/>
    </row>
    <row r="254" spans="1:5" x14ac:dyDescent="0.35">
      <c r="A254" s="30"/>
      <c r="B254" s="30"/>
      <c r="C254" s="117"/>
      <c r="D254" s="120"/>
      <c r="E254" s="120"/>
    </row>
    <row r="255" spans="1:5" x14ac:dyDescent="0.35">
      <c r="A255" s="30"/>
      <c r="B255" s="30"/>
      <c r="C255" s="117"/>
      <c r="D255" s="120"/>
      <c r="E255" s="120"/>
    </row>
    <row r="256" spans="1:5" x14ac:dyDescent="0.35">
      <c r="A256" s="30"/>
      <c r="B256" s="30"/>
      <c r="C256" s="117"/>
      <c r="D256" s="120"/>
      <c r="E256" s="120"/>
    </row>
    <row r="257" spans="1:5" x14ac:dyDescent="0.35">
      <c r="A257" s="30"/>
      <c r="B257" s="30"/>
      <c r="C257" s="117"/>
      <c r="D257" s="120"/>
      <c r="E257" s="120"/>
    </row>
    <row r="258" spans="1:5" x14ac:dyDescent="0.35">
      <c r="A258" s="30"/>
      <c r="B258" s="30"/>
      <c r="C258" s="117"/>
      <c r="D258" s="120"/>
      <c r="E258" s="120"/>
    </row>
    <row r="259" spans="1:5" x14ac:dyDescent="0.35">
      <c r="A259" s="30"/>
      <c r="B259" s="30"/>
      <c r="C259" s="117"/>
      <c r="D259" s="120"/>
      <c r="E259" s="120"/>
    </row>
    <row r="260" spans="1:5" x14ac:dyDescent="0.35">
      <c r="A260" s="30"/>
      <c r="B260" s="30"/>
      <c r="C260" s="117"/>
      <c r="D260" s="120"/>
      <c r="E260" s="120"/>
    </row>
    <row r="261" spans="1:5" x14ac:dyDescent="0.35">
      <c r="A261" s="30"/>
      <c r="B261" s="30"/>
      <c r="C261" s="117"/>
      <c r="D261" s="120"/>
      <c r="E261" s="120"/>
    </row>
    <row r="262" spans="1:5" x14ac:dyDescent="0.35">
      <c r="A262" s="30"/>
      <c r="B262" s="30"/>
      <c r="C262" s="117"/>
      <c r="D262" s="120"/>
      <c r="E262" s="120"/>
    </row>
    <row r="263" spans="1:5" x14ac:dyDescent="0.35">
      <c r="A263" s="30"/>
      <c r="B263" s="30"/>
      <c r="C263" s="117"/>
      <c r="D263" s="120"/>
      <c r="E263" s="120"/>
    </row>
    <row r="264" spans="1:5" x14ac:dyDescent="0.35">
      <c r="A264" s="30"/>
      <c r="B264" s="30"/>
      <c r="C264" s="117"/>
      <c r="D264" s="120"/>
      <c r="E264" s="120"/>
    </row>
    <row r="265" spans="1:5" x14ac:dyDescent="0.35">
      <c r="A265" s="30"/>
      <c r="B265" s="30"/>
      <c r="C265" s="117"/>
      <c r="D265" s="120"/>
      <c r="E265" s="120"/>
    </row>
    <row r="266" spans="1:5" x14ac:dyDescent="0.35">
      <c r="A266" s="30"/>
      <c r="B266" s="30"/>
      <c r="C266" s="117"/>
      <c r="D266" s="120"/>
      <c r="E266" s="120"/>
    </row>
    <row r="267" spans="1:5" x14ac:dyDescent="0.35">
      <c r="A267" s="30"/>
      <c r="B267" s="30"/>
      <c r="C267" s="117"/>
      <c r="D267" s="120"/>
      <c r="E267" s="120"/>
    </row>
    <row r="268" spans="1:5" x14ac:dyDescent="0.35">
      <c r="A268" s="30"/>
      <c r="B268" s="30"/>
      <c r="C268" s="117"/>
      <c r="D268" s="120"/>
      <c r="E268" s="120"/>
    </row>
    <row r="269" spans="1:5" x14ac:dyDescent="0.35">
      <c r="A269" s="30"/>
      <c r="B269" s="30"/>
      <c r="C269" s="117"/>
      <c r="D269" s="120"/>
      <c r="E269" s="120"/>
    </row>
    <row r="270" spans="1:5" x14ac:dyDescent="0.35">
      <c r="A270" s="30"/>
      <c r="B270" s="30"/>
      <c r="C270" s="117"/>
      <c r="D270" s="120"/>
      <c r="E270" s="120"/>
    </row>
    <row r="271" spans="1:5" x14ac:dyDescent="0.35">
      <c r="A271" s="30"/>
      <c r="B271" s="30"/>
      <c r="C271" s="117"/>
      <c r="D271" s="120"/>
      <c r="E271" s="120"/>
    </row>
    <row r="272" spans="1:5" x14ac:dyDescent="0.35">
      <c r="A272" s="30"/>
      <c r="B272" s="30"/>
      <c r="C272" s="117"/>
      <c r="D272" s="120"/>
      <c r="E272" s="120"/>
    </row>
    <row r="273" spans="1:5" x14ac:dyDescent="0.35">
      <c r="A273" s="30"/>
      <c r="B273" s="30"/>
      <c r="C273" s="117"/>
      <c r="D273" s="120"/>
      <c r="E273" s="120"/>
    </row>
    <row r="274" spans="1:5" x14ac:dyDescent="0.35">
      <c r="A274" s="30"/>
      <c r="B274" s="30"/>
      <c r="C274" s="117"/>
      <c r="D274" s="120"/>
      <c r="E274" s="120"/>
    </row>
    <row r="275" spans="1:5" x14ac:dyDescent="0.35">
      <c r="A275" s="30"/>
      <c r="B275" s="30"/>
      <c r="C275" s="117"/>
      <c r="D275" s="120"/>
      <c r="E275" s="120"/>
    </row>
    <row r="276" spans="1:5" x14ac:dyDescent="0.35">
      <c r="A276" s="30"/>
      <c r="B276" s="30"/>
      <c r="C276" s="117"/>
      <c r="D276" s="120"/>
      <c r="E276" s="120"/>
    </row>
    <row r="277" spans="1:5" x14ac:dyDescent="0.35">
      <c r="A277" s="30"/>
      <c r="B277" s="30"/>
      <c r="C277" s="117"/>
      <c r="D277" s="120"/>
      <c r="E277" s="120"/>
    </row>
    <row r="278" spans="1:5" x14ac:dyDescent="0.35">
      <c r="A278" s="30"/>
      <c r="B278" s="30"/>
      <c r="C278" s="117"/>
      <c r="D278" s="120"/>
      <c r="E278" s="120"/>
    </row>
    <row r="279" spans="1:5" x14ac:dyDescent="0.35">
      <c r="A279" s="30"/>
      <c r="B279" s="30"/>
      <c r="C279" s="117"/>
      <c r="D279" s="120"/>
      <c r="E279" s="120"/>
    </row>
    <row r="280" spans="1:5" x14ac:dyDescent="0.35">
      <c r="A280" s="30"/>
      <c r="B280" s="30"/>
      <c r="C280" s="117"/>
      <c r="D280" s="120"/>
      <c r="E280" s="120"/>
    </row>
    <row r="281" spans="1:5" x14ac:dyDescent="0.35">
      <c r="A281" s="30"/>
      <c r="B281" s="30"/>
      <c r="C281" s="117"/>
      <c r="D281" s="120"/>
      <c r="E281" s="120"/>
    </row>
    <row r="282" spans="1:5" x14ac:dyDescent="0.35">
      <c r="A282" s="30"/>
      <c r="B282" s="30"/>
      <c r="C282" s="117"/>
      <c r="D282" s="120"/>
      <c r="E282" s="120"/>
    </row>
    <row r="283" spans="1:5" x14ac:dyDescent="0.35">
      <c r="A283" s="30"/>
      <c r="B283" s="30"/>
      <c r="C283" s="117"/>
      <c r="D283" s="120"/>
      <c r="E283" s="120"/>
    </row>
    <row r="284" spans="1:5" x14ac:dyDescent="0.35">
      <c r="A284" s="30"/>
      <c r="B284" s="30"/>
      <c r="C284" s="117"/>
      <c r="D284" s="120"/>
      <c r="E284" s="120"/>
    </row>
    <row r="285" spans="1:5" x14ac:dyDescent="0.35">
      <c r="A285" s="30"/>
      <c r="B285" s="30"/>
      <c r="C285" s="117"/>
      <c r="D285" s="120"/>
      <c r="E285" s="120"/>
    </row>
    <row r="286" spans="1:5" x14ac:dyDescent="0.35">
      <c r="A286" s="30"/>
      <c r="B286" s="30"/>
      <c r="C286" s="117"/>
      <c r="D286" s="120"/>
      <c r="E286" s="120"/>
    </row>
    <row r="287" spans="1:5" x14ac:dyDescent="0.35">
      <c r="A287" s="30"/>
      <c r="B287" s="30"/>
      <c r="C287" s="117"/>
      <c r="D287" s="120"/>
      <c r="E287" s="120"/>
    </row>
    <row r="288" spans="1:5" x14ac:dyDescent="0.35">
      <c r="A288" s="30"/>
      <c r="B288" s="30"/>
      <c r="C288" s="117"/>
      <c r="D288" s="120"/>
      <c r="E288" s="120"/>
    </row>
    <row r="289" spans="1:5" x14ac:dyDescent="0.35">
      <c r="A289" s="30"/>
      <c r="B289" s="30"/>
      <c r="C289" s="117"/>
      <c r="D289" s="120"/>
      <c r="E289" s="120"/>
    </row>
    <row r="290" spans="1:5" x14ac:dyDescent="0.35">
      <c r="A290" s="30"/>
      <c r="B290" s="30"/>
      <c r="C290" s="117"/>
      <c r="D290" s="120"/>
      <c r="E290" s="120"/>
    </row>
    <row r="291" spans="1:5" x14ac:dyDescent="0.35">
      <c r="A291" s="30"/>
      <c r="B291" s="30"/>
      <c r="C291" s="117"/>
      <c r="D291" s="120"/>
      <c r="E291" s="120"/>
    </row>
    <row r="292" spans="1:5" x14ac:dyDescent="0.35">
      <c r="A292" s="30"/>
      <c r="B292" s="30"/>
      <c r="C292" s="117"/>
      <c r="D292" s="120"/>
      <c r="E292" s="120"/>
    </row>
    <row r="293" spans="1:5" x14ac:dyDescent="0.35">
      <c r="A293" s="30"/>
      <c r="B293" s="30"/>
      <c r="C293" s="117"/>
      <c r="D293" s="120"/>
      <c r="E293" s="120"/>
    </row>
    <row r="294" spans="1:5" x14ac:dyDescent="0.35">
      <c r="A294" s="30"/>
      <c r="B294" s="30"/>
      <c r="C294" s="117"/>
      <c r="D294" s="120"/>
      <c r="E294" s="120"/>
    </row>
    <row r="295" spans="1:5" x14ac:dyDescent="0.35">
      <c r="A295" s="30"/>
      <c r="B295" s="30"/>
      <c r="C295" s="117"/>
      <c r="D295" s="120"/>
      <c r="E295" s="120"/>
    </row>
    <row r="296" spans="1:5" x14ac:dyDescent="0.35">
      <c r="A296" s="30"/>
      <c r="B296" s="30"/>
      <c r="C296" s="117"/>
      <c r="D296" s="120"/>
      <c r="E296" s="120"/>
    </row>
    <row r="297" spans="1:5" x14ac:dyDescent="0.35">
      <c r="A297" s="30"/>
      <c r="B297" s="30"/>
      <c r="C297" s="117"/>
      <c r="D297" s="120"/>
      <c r="E297" s="120"/>
    </row>
    <row r="298" spans="1:5" x14ac:dyDescent="0.35">
      <c r="A298" s="30"/>
      <c r="B298" s="30"/>
      <c r="C298" s="117"/>
      <c r="D298" s="120"/>
      <c r="E298" s="120"/>
    </row>
    <row r="299" spans="1:5" x14ac:dyDescent="0.35">
      <c r="A299" s="30"/>
      <c r="B299" s="30"/>
      <c r="C299" s="117"/>
      <c r="D299" s="120"/>
      <c r="E299" s="120"/>
    </row>
    <row r="300" spans="1:5" x14ac:dyDescent="0.35">
      <c r="A300" s="30"/>
      <c r="B300" s="30"/>
      <c r="C300" s="117"/>
      <c r="D300" s="120"/>
      <c r="E300" s="120"/>
    </row>
    <row r="301" spans="1:5" x14ac:dyDescent="0.35">
      <c r="A301" s="30"/>
      <c r="B301" s="30"/>
      <c r="C301" s="117"/>
      <c r="D301" s="120"/>
      <c r="E301" s="120"/>
    </row>
    <row r="302" spans="1:5" x14ac:dyDescent="0.35">
      <c r="A302" s="30"/>
      <c r="B302" s="30"/>
      <c r="C302" s="117"/>
      <c r="D302" s="120"/>
      <c r="E302" s="120"/>
    </row>
    <row r="303" spans="1:5" x14ac:dyDescent="0.35">
      <c r="A303" s="30"/>
      <c r="B303" s="30"/>
      <c r="C303" s="117"/>
      <c r="D303" s="120"/>
      <c r="E303" s="120"/>
    </row>
    <row r="304" spans="1:5" x14ac:dyDescent="0.35">
      <c r="A304" s="30"/>
      <c r="B304" s="30"/>
      <c r="C304" s="117"/>
      <c r="D304" s="120"/>
      <c r="E304" s="120"/>
    </row>
    <row r="305" spans="1:5" x14ac:dyDescent="0.35">
      <c r="A305" s="30"/>
      <c r="B305" s="30"/>
      <c r="C305" s="117"/>
      <c r="D305" s="120"/>
      <c r="E305" s="120"/>
    </row>
    <row r="306" spans="1:5" x14ac:dyDescent="0.35">
      <c r="A306" s="30"/>
      <c r="B306" s="30"/>
      <c r="C306" s="117"/>
      <c r="D306" s="120"/>
      <c r="E306" s="120"/>
    </row>
    <row r="307" spans="1:5" x14ac:dyDescent="0.35">
      <c r="A307" s="30"/>
      <c r="B307" s="30"/>
      <c r="C307" s="117"/>
      <c r="D307" s="120"/>
      <c r="E307" s="120"/>
    </row>
    <row r="308" spans="1:5" x14ac:dyDescent="0.35">
      <c r="A308" s="30"/>
      <c r="B308" s="30"/>
      <c r="C308" s="117"/>
      <c r="D308" s="120"/>
      <c r="E308" s="120"/>
    </row>
    <row r="309" spans="1:5" x14ac:dyDescent="0.35">
      <c r="A309" s="30"/>
      <c r="B309" s="30"/>
      <c r="C309" s="117"/>
      <c r="D309" s="120"/>
      <c r="E309" s="120"/>
    </row>
    <row r="310" spans="1:5" x14ac:dyDescent="0.35">
      <c r="A310" s="30"/>
      <c r="B310" s="30"/>
      <c r="C310" s="117"/>
      <c r="D310" s="120"/>
      <c r="E310" s="120"/>
    </row>
    <row r="311" spans="1:5" x14ac:dyDescent="0.35">
      <c r="A311" s="30"/>
      <c r="B311" s="30"/>
      <c r="C311" s="117"/>
      <c r="D311" s="120"/>
      <c r="E311" s="120"/>
    </row>
    <row r="312" spans="1:5" x14ac:dyDescent="0.35">
      <c r="A312" s="30"/>
      <c r="B312" s="30"/>
      <c r="C312" s="117"/>
      <c r="D312" s="120"/>
      <c r="E312" s="120"/>
    </row>
    <row r="313" spans="1:5" x14ac:dyDescent="0.35">
      <c r="A313" s="30"/>
      <c r="B313" s="30"/>
      <c r="C313" s="117"/>
      <c r="D313" s="120"/>
      <c r="E313" s="120"/>
    </row>
    <row r="314" spans="1:5" x14ac:dyDescent="0.35">
      <c r="A314" s="30"/>
      <c r="B314" s="30"/>
      <c r="C314" s="117"/>
      <c r="D314" s="120"/>
      <c r="E314" s="120"/>
    </row>
    <row r="315" spans="1:5" x14ac:dyDescent="0.35">
      <c r="A315" s="30"/>
      <c r="B315" s="30"/>
      <c r="C315" s="117"/>
      <c r="D315" s="120"/>
      <c r="E315" s="120"/>
    </row>
    <row r="316" spans="1:5" x14ac:dyDescent="0.35">
      <c r="A316" s="30"/>
      <c r="B316" s="30"/>
      <c r="C316" s="117"/>
      <c r="D316" s="120"/>
      <c r="E316" s="120"/>
    </row>
    <row r="317" spans="1:5" x14ac:dyDescent="0.35">
      <c r="A317" s="30"/>
      <c r="B317" s="30"/>
      <c r="C317" s="117"/>
      <c r="D317" s="120"/>
      <c r="E317" s="120"/>
    </row>
    <row r="318" spans="1:5" x14ac:dyDescent="0.35">
      <c r="A318" s="30"/>
      <c r="B318" s="30"/>
      <c r="C318" s="117"/>
      <c r="D318" s="120"/>
      <c r="E318" s="120"/>
    </row>
    <row r="319" spans="1:5" x14ac:dyDescent="0.35">
      <c r="A319" s="30"/>
      <c r="B319" s="30"/>
      <c r="C319" s="117"/>
      <c r="D319" s="120"/>
      <c r="E319" s="120"/>
    </row>
    <row r="320" spans="1:5" x14ac:dyDescent="0.35">
      <c r="A320" s="30"/>
      <c r="B320" s="30"/>
      <c r="C320" s="117"/>
      <c r="D320" s="120"/>
      <c r="E320" s="120"/>
    </row>
    <row r="321" spans="1:5" x14ac:dyDescent="0.35">
      <c r="A321" s="30"/>
      <c r="B321" s="30"/>
      <c r="C321" s="117"/>
      <c r="D321" s="120"/>
      <c r="E321" s="120"/>
    </row>
    <row r="322" spans="1:5" x14ac:dyDescent="0.35">
      <c r="A322" s="30"/>
      <c r="B322" s="30"/>
      <c r="C322" s="117"/>
      <c r="D322" s="120"/>
      <c r="E322" s="120"/>
    </row>
    <row r="323" spans="1:5" x14ac:dyDescent="0.35">
      <c r="A323" s="30"/>
      <c r="B323" s="30"/>
      <c r="C323" s="117"/>
      <c r="D323" s="120"/>
      <c r="E323" s="120"/>
    </row>
    <row r="324" spans="1:5" x14ac:dyDescent="0.35">
      <c r="A324" s="30"/>
      <c r="B324" s="30"/>
      <c r="C324" s="117"/>
      <c r="D324" s="120"/>
      <c r="E324" s="120"/>
    </row>
    <row r="325" spans="1:5" x14ac:dyDescent="0.35">
      <c r="A325" s="30"/>
      <c r="B325" s="30"/>
      <c r="C325" s="117"/>
      <c r="D325" s="120"/>
      <c r="E325" s="120"/>
    </row>
    <row r="326" spans="1:5" x14ac:dyDescent="0.35">
      <c r="A326" s="30"/>
      <c r="B326" s="30"/>
      <c r="C326" s="117"/>
      <c r="D326" s="120"/>
      <c r="E326" s="120"/>
    </row>
    <row r="327" spans="1:5" x14ac:dyDescent="0.35">
      <c r="A327" s="30"/>
      <c r="B327" s="30"/>
      <c r="C327" s="117"/>
      <c r="D327" s="120"/>
      <c r="E327" s="120"/>
    </row>
    <row r="328" spans="1:5" x14ac:dyDescent="0.35">
      <c r="A328" s="30"/>
      <c r="B328" s="30"/>
      <c r="C328" s="117"/>
      <c r="D328" s="120"/>
      <c r="E328" s="120"/>
    </row>
    <row r="329" spans="1:5" x14ac:dyDescent="0.35">
      <c r="A329" s="30"/>
      <c r="B329" s="30"/>
      <c r="C329" s="117"/>
      <c r="D329" s="120"/>
      <c r="E329" s="120"/>
    </row>
    <row r="330" spans="1:5" x14ac:dyDescent="0.35">
      <c r="A330" s="30"/>
      <c r="B330" s="30"/>
      <c r="C330" s="117"/>
      <c r="D330" s="120"/>
      <c r="E330" s="120"/>
    </row>
    <row r="331" spans="1:5" x14ac:dyDescent="0.35">
      <c r="A331" s="30"/>
      <c r="B331" s="30"/>
      <c r="C331" s="117"/>
      <c r="D331" s="120"/>
      <c r="E331" s="120"/>
    </row>
    <row r="332" spans="1:5" x14ac:dyDescent="0.35">
      <c r="A332" s="30"/>
      <c r="B332" s="30"/>
      <c r="C332" s="117"/>
      <c r="D332" s="120"/>
      <c r="E332" s="120"/>
    </row>
    <row r="333" spans="1:5" x14ac:dyDescent="0.35">
      <c r="A333" s="30"/>
      <c r="B333" s="30"/>
      <c r="C333" s="117"/>
      <c r="D333" s="120"/>
      <c r="E333" s="120"/>
    </row>
    <row r="334" spans="1:5" x14ac:dyDescent="0.35">
      <c r="A334" s="30"/>
      <c r="B334" s="30"/>
      <c r="C334" s="117"/>
      <c r="D334" s="120"/>
      <c r="E334" s="120"/>
    </row>
    <row r="335" spans="1:5" x14ac:dyDescent="0.35">
      <c r="A335" s="30"/>
      <c r="B335" s="30"/>
      <c r="C335" s="117"/>
      <c r="D335" s="120"/>
      <c r="E335" s="120"/>
    </row>
    <row r="336" spans="1:5" x14ac:dyDescent="0.35">
      <c r="A336" s="30"/>
      <c r="B336" s="30"/>
      <c r="C336" s="117"/>
      <c r="D336" s="120"/>
      <c r="E336" s="120"/>
    </row>
    <row r="337" spans="1:5" x14ac:dyDescent="0.35">
      <c r="A337" s="30"/>
      <c r="B337" s="30"/>
      <c r="C337" s="117"/>
      <c r="D337" s="120"/>
      <c r="E337" s="120"/>
    </row>
    <row r="338" spans="1:5" x14ac:dyDescent="0.35">
      <c r="A338" s="30"/>
      <c r="B338" s="30"/>
      <c r="C338" s="117"/>
      <c r="D338" s="120"/>
      <c r="E338" s="120"/>
    </row>
    <row r="339" spans="1:5" x14ac:dyDescent="0.35">
      <c r="A339" s="30"/>
      <c r="B339" s="30"/>
      <c r="C339" s="117"/>
      <c r="D339" s="120"/>
      <c r="E339" s="120"/>
    </row>
    <row r="340" spans="1:5" x14ac:dyDescent="0.35">
      <c r="A340" s="30"/>
      <c r="B340" s="30"/>
      <c r="C340" s="117"/>
      <c r="D340" s="120"/>
      <c r="E340" s="120"/>
    </row>
    <row r="341" spans="1:5" x14ac:dyDescent="0.35">
      <c r="A341" s="30"/>
      <c r="B341" s="30"/>
      <c r="C341" s="117"/>
      <c r="D341" s="120"/>
      <c r="E341" s="120"/>
    </row>
    <row r="342" spans="1:5" x14ac:dyDescent="0.35">
      <c r="A342" s="30"/>
      <c r="B342" s="30"/>
      <c r="C342" s="117"/>
      <c r="D342" s="120"/>
      <c r="E342" s="120"/>
    </row>
    <row r="343" spans="1:5" x14ac:dyDescent="0.35">
      <c r="A343" s="30"/>
      <c r="B343" s="30"/>
      <c r="C343" s="117"/>
      <c r="D343" s="120"/>
      <c r="E343" s="120"/>
    </row>
    <row r="344" spans="1:5" x14ac:dyDescent="0.35">
      <c r="A344" s="30"/>
      <c r="B344" s="30"/>
      <c r="C344" s="117"/>
      <c r="D344" s="120"/>
      <c r="E344" s="120"/>
    </row>
    <row r="345" spans="1:5" x14ac:dyDescent="0.35">
      <c r="A345" s="30"/>
      <c r="B345" s="30"/>
      <c r="C345" s="117"/>
      <c r="D345" s="120"/>
      <c r="E345" s="120"/>
    </row>
    <row r="346" spans="1:5" x14ac:dyDescent="0.35">
      <c r="A346" s="30"/>
      <c r="B346" s="30"/>
      <c r="C346" s="117"/>
      <c r="D346" s="120"/>
      <c r="E346" s="120"/>
    </row>
    <row r="347" spans="1:5" x14ac:dyDescent="0.35">
      <c r="A347" s="30"/>
      <c r="B347" s="30"/>
      <c r="C347" s="117"/>
      <c r="D347" s="120"/>
      <c r="E347" s="120"/>
    </row>
    <row r="348" spans="1:5" x14ac:dyDescent="0.35">
      <c r="A348" s="30"/>
      <c r="B348" s="30"/>
      <c r="C348" s="117"/>
      <c r="D348" s="120"/>
      <c r="E348" s="120"/>
    </row>
    <row r="349" spans="1:5" x14ac:dyDescent="0.35">
      <c r="A349" s="30"/>
      <c r="B349" s="30"/>
      <c r="C349" s="117"/>
      <c r="D349" s="120"/>
      <c r="E349" s="120"/>
    </row>
    <row r="350" spans="1:5" x14ac:dyDescent="0.35">
      <c r="A350" s="30"/>
      <c r="B350" s="30"/>
      <c r="C350" s="117"/>
      <c r="D350" s="120"/>
      <c r="E350" s="120"/>
    </row>
    <row r="351" spans="1:5" x14ac:dyDescent="0.35">
      <c r="A351" s="30"/>
      <c r="B351" s="30"/>
      <c r="C351" s="117"/>
      <c r="D351" s="120"/>
      <c r="E351" s="120"/>
    </row>
    <row r="352" spans="1:5" x14ac:dyDescent="0.35">
      <c r="A352" s="30"/>
      <c r="B352" s="30"/>
      <c r="C352" s="117"/>
      <c r="D352" s="120"/>
      <c r="E352" s="120"/>
    </row>
    <row r="353" spans="1:5" x14ac:dyDescent="0.35">
      <c r="A353" s="30"/>
      <c r="B353" s="30"/>
      <c r="C353" s="117"/>
      <c r="D353" s="120"/>
      <c r="E353" s="120"/>
    </row>
    <row r="354" spans="1:5" x14ac:dyDescent="0.35">
      <c r="A354" s="30"/>
      <c r="B354" s="30"/>
      <c r="C354" s="117"/>
      <c r="D354" s="120"/>
      <c r="E354" s="120"/>
    </row>
    <row r="355" spans="1:5" x14ac:dyDescent="0.35">
      <c r="A355" s="30"/>
      <c r="B355" s="30"/>
      <c r="C355" s="117"/>
      <c r="D355" s="120"/>
      <c r="E355" s="120"/>
    </row>
    <row r="356" spans="1:5" x14ac:dyDescent="0.35">
      <c r="A356" s="30"/>
      <c r="B356" s="30"/>
      <c r="C356" s="117"/>
      <c r="D356" s="120"/>
      <c r="E356" s="120"/>
    </row>
    <row r="357" spans="1:5" x14ac:dyDescent="0.35">
      <c r="A357" s="30"/>
      <c r="B357" s="30"/>
      <c r="C357" s="117"/>
      <c r="D357" s="120"/>
      <c r="E357" s="120"/>
    </row>
    <row r="358" spans="1:5" x14ac:dyDescent="0.35">
      <c r="A358" s="30"/>
      <c r="B358" s="30"/>
      <c r="C358" s="117"/>
      <c r="D358" s="120"/>
      <c r="E358" s="120"/>
    </row>
    <row r="359" spans="1:5" x14ac:dyDescent="0.35">
      <c r="A359" s="30"/>
      <c r="B359" s="30"/>
      <c r="C359" s="117"/>
      <c r="D359" s="120"/>
      <c r="E359" s="120"/>
    </row>
    <row r="360" spans="1:5" x14ac:dyDescent="0.35">
      <c r="A360" s="30"/>
      <c r="B360" s="30"/>
      <c r="C360" s="117"/>
      <c r="D360" s="120"/>
      <c r="E360" s="120"/>
    </row>
    <row r="361" spans="1:5" x14ac:dyDescent="0.35">
      <c r="A361" s="30"/>
      <c r="B361" s="30"/>
      <c r="C361" s="117"/>
      <c r="D361" s="120"/>
      <c r="E361" s="120"/>
    </row>
    <row r="362" spans="1:5" x14ac:dyDescent="0.35">
      <c r="A362" s="30"/>
      <c r="B362" s="30"/>
      <c r="C362" s="117"/>
      <c r="D362" s="120"/>
      <c r="E362" s="120"/>
    </row>
    <row r="363" spans="1:5" x14ac:dyDescent="0.35">
      <c r="A363" s="30"/>
      <c r="B363" s="30"/>
      <c r="C363" s="117"/>
      <c r="D363" s="120"/>
      <c r="E363" s="120"/>
    </row>
    <row r="364" spans="1:5" x14ac:dyDescent="0.35">
      <c r="A364" s="30"/>
      <c r="B364" s="30"/>
      <c r="C364" s="117"/>
      <c r="D364" s="120"/>
      <c r="E364" s="120"/>
    </row>
    <row r="365" spans="1:5" x14ac:dyDescent="0.35">
      <c r="A365" s="30"/>
      <c r="B365" s="30"/>
      <c r="C365" s="117"/>
      <c r="D365" s="120"/>
      <c r="E365" s="120"/>
    </row>
    <row r="366" spans="1:5" x14ac:dyDescent="0.35">
      <c r="A366" s="30"/>
      <c r="B366" s="30"/>
      <c r="C366" s="117"/>
      <c r="D366" s="120"/>
      <c r="E366" s="120"/>
    </row>
    <row r="367" spans="1:5" x14ac:dyDescent="0.35">
      <c r="A367" s="30"/>
      <c r="B367" s="30"/>
      <c r="C367" s="117"/>
      <c r="D367" s="120"/>
      <c r="E367" s="120"/>
    </row>
    <row r="368" spans="1:5" x14ac:dyDescent="0.35">
      <c r="A368" s="30"/>
      <c r="B368" s="30"/>
      <c r="C368" s="117"/>
      <c r="D368" s="120"/>
      <c r="E368" s="120"/>
    </row>
    <row r="369" spans="1:5" x14ac:dyDescent="0.35">
      <c r="A369" s="30"/>
      <c r="B369" s="30"/>
      <c r="C369" s="117"/>
      <c r="D369" s="120"/>
      <c r="E369" s="120"/>
    </row>
    <row r="370" spans="1:5" x14ac:dyDescent="0.35">
      <c r="A370" s="30"/>
      <c r="B370" s="30"/>
      <c r="C370" s="117"/>
      <c r="D370" s="120"/>
      <c r="E370" s="120"/>
    </row>
    <row r="371" spans="1:5" x14ac:dyDescent="0.35">
      <c r="A371" s="30"/>
      <c r="B371" s="30"/>
      <c r="C371" s="117"/>
      <c r="D371" s="120"/>
      <c r="E371" s="120"/>
    </row>
    <row r="372" spans="1:5" x14ac:dyDescent="0.35">
      <c r="A372" s="30"/>
      <c r="B372" s="30"/>
      <c r="C372" s="117"/>
      <c r="D372" s="120"/>
      <c r="E372" s="120"/>
    </row>
    <row r="373" spans="1:5" x14ac:dyDescent="0.35">
      <c r="A373" s="30"/>
      <c r="B373" s="30"/>
      <c r="C373" s="117"/>
      <c r="D373" s="120"/>
      <c r="E373" s="120"/>
    </row>
    <row r="374" spans="1:5" x14ac:dyDescent="0.35">
      <c r="A374" s="30"/>
      <c r="B374" s="30"/>
      <c r="C374" s="117"/>
      <c r="D374" s="120"/>
      <c r="E374" s="120"/>
    </row>
    <row r="375" spans="1:5" x14ac:dyDescent="0.35">
      <c r="A375" s="30"/>
      <c r="B375" s="30"/>
      <c r="C375" s="117"/>
      <c r="D375" s="120"/>
      <c r="E375" s="120"/>
    </row>
    <row r="376" spans="1:5" x14ac:dyDescent="0.35">
      <c r="A376" s="30"/>
      <c r="B376" s="30"/>
      <c r="C376" s="117"/>
      <c r="D376" s="120"/>
      <c r="E376" s="120"/>
    </row>
    <row r="377" spans="1:5" x14ac:dyDescent="0.35">
      <c r="A377" s="30"/>
      <c r="B377" s="30"/>
      <c r="C377" s="117"/>
      <c r="D377" s="120"/>
      <c r="E377" s="120"/>
    </row>
    <row r="378" spans="1:5" x14ac:dyDescent="0.35">
      <c r="A378" s="30"/>
      <c r="B378" s="30"/>
      <c r="C378" s="117"/>
      <c r="D378" s="120"/>
      <c r="E378" s="120"/>
    </row>
    <row r="379" spans="1:5" x14ac:dyDescent="0.35">
      <c r="A379" s="30"/>
      <c r="B379" s="30"/>
      <c r="C379" s="117"/>
      <c r="D379" s="120"/>
      <c r="E379" s="120"/>
    </row>
    <row r="380" spans="1:5" x14ac:dyDescent="0.35">
      <c r="A380" s="30"/>
      <c r="B380" s="30"/>
      <c r="C380" s="117"/>
      <c r="D380" s="120"/>
      <c r="E380" s="120"/>
    </row>
    <row r="381" spans="1:5" x14ac:dyDescent="0.35">
      <c r="A381" s="30"/>
      <c r="B381" s="30"/>
      <c r="C381" s="117"/>
      <c r="D381" s="120"/>
      <c r="E381" s="120"/>
    </row>
    <row r="382" spans="1:5" x14ac:dyDescent="0.35">
      <c r="A382" s="30"/>
      <c r="B382" s="30"/>
      <c r="C382" s="117"/>
      <c r="D382" s="120"/>
      <c r="E382" s="120"/>
    </row>
    <row r="383" spans="1:5" x14ac:dyDescent="0.35">
      <c r="A383" s="30"/>
      <c r="B383" s="30"/>
      <c r="C383" s="117"/>
      <c r="D383" s="120"/>
      <c r="E383" s="120"/>
    </row>
    <row r="384" spans="1:5" x14ac:dyDescent="0.35">
      <c r="A384" s="30"/>
      <c r="B384" s="30"/>
      <c r="C384" s="117"/>
      <c r="D384" s="120"/>
      <c r="E384" s="120"/>
    </row>
    <row r="385" spans="1:5" x14ac:dyDescent="0.35">
      <c r="A385" s="30"/>
      <c r="B385" s="30"/>
      <c r="C385" s="117"/>
      <c r="D385" s="120"/>
      <c r="E385" s="120"/>
    </row>
    <row r="386" spans="1:5" x14ac:dyDescent="0.35">
      <c r="A386" s="30"/>
      <c r="B386" s="30"/>
      <c r="C386" s="117"/>
      <c r="D386" s="120"/>
      <c r="E386" s="120"/>
    </row>
    <row r="387" spans="1:5" x14ac:dyDescent="0.35">
      <c r="A387" s="30"/>
      <c r="B387" s="30"/>
      <c r="C387" s="117"/>
      <c r="D387" s="120"/>
      <c r="E387" s="120"/>
    </row>
    <row r="388" spans="1:5" x14ac:dyDescent="0.35">
      <c r="A388" s="30"/>
      <c r="B388" s="30"/>
      <c r="C388" s="117"/>
      <c r="D388" s="120"/>
      <c r="E388" s="120"/>
    </row>
    <row r="389" spans="1:5" x14ac:dyDescent="0.35">
      <c r="A389" s="30"/>
      <c r="B389" s="30"/>
      <c r="C389" s="117"/>
      <c r="D389" s="120"/>
      <c r="E389" s="120"/>
    </row>
    <row r="390" spans="1:5" x14ac:dyDescent="0.35">
      <c r="A390" s="30"/>
      <c r="B390" s="30"/>
      <c r="C390" s="117"/>
      <c r="D390" s="120"/>
      <c r="E390" s="120"/>
    </row>
    <row r="391" spans="1:5" x14ac:dyDescent="0.35">
      <c r="A391" s="30"/>
      <c r="B391" s="30"/>
      <c r="C391" s="117"/>
      <c r="D391" s="120"/>
      <c r="E391" s="120"/>
    </row>
    <row r="392" spans="1:5" x14ac:dyDescent="0.35">
      <c r="A392" s="30"/>
      <c r="B392" s="30"/>
      <c r="C392" s="117"/>
      <c r="D392" s="120"/>
      <c r="E392" s="120"/>
    </row>
    <row r="393" spans="1:5" x14ac:dyDescent="0.35">
      <c r="A393" s="30"/>
      <c r="B393" s="30"/>
      <c r="C393" s="117"/>
      <c r="D393" s="120"/>
      <c r="E393" s="120"/>
    </row>
    <row r="394" spans="1:5" x14ac:dyDescent="0.35">
      <c r="A394" s="30"/>
      <c r="B394" s="30"/>
      <c r="C394" s="117"/>
      <c r="D394" s="120"/>
      <c r="E394" s="120"/>
    </row>
    <row r="395" spans="1:5" x14ac:dyDescent="0.35">
      <c r="A395" s="30"/>
      <c r="B395" s="30"/>
      <c r="C395" s="117"/>
      <c r="D395" s="120"/>
      <c r="E395" s="120"/>
    </row>
    <row r="396" spans="1:5" x14ac:dyDescent="0.35">
      <c r="A396" s="30"/>
      <c r="B396" s="30"/>
      <c r="C396" s="117"/>
      <c r="D396" s="120"/>
      <c r="E396" s="120"/>
    </row>
    <row r="397" spans="1:5" x14ac:dyDescent="0.35">
      <c r="A397" s="30"/>
      <c r="B397" s="30"/>
      <c r="C397" s="117"/>
      <c r="D397" s="120"/>
      <c r="E397" s="120"/>
    </row>
    <row r="398" spans="1:5" x14ac:dyDescent="0.35">
      <c r="A398" s="30"/>
      <c r="B398" s="30"/>
      <c r="C398" s="117"/>
      <c r="D398" s="120"/>
      <c r="E398" s="120"/>
    </row>
    <row r="399" spans="1:5" x14ac:dyDescent="0.35">
      <c r="A399" s="30"/>
      <c r="B399" s="30"/>
      <c r="C399" s="117"/>
      <c r="D399" s="120"/>
      <c r="E399" s="120"/>
    </row>
    <row r="400" spans="1:5" x14ac:dyDescent="0.35">
      <c r="A400" s="30"/>
      <c r="B400" s="30"/>
      <c r="C400" s="117"/>
      <c r="D400" s="120"/>
      <c r="E400" s="120"/>
    </row>
    <row r="401" spans="1:5" x14ac:dyDescent="0.35">
      <c r="A401" s="30"/>
      <c r="B401" s="30"/>
      <c r="C401" s="117"/>
      <c r="D401" s="120"/>
      <c r="E401" s="120"/>
    </row>
  </sheetData>
  <mergeCells count="1">
    <mergeCell ref="G3:H3"/>
  </mergeCells>
  <phoneticPr fontId="3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2"/>
  <sheetViews>
    <sheetView workbookViewId="0">
      <selection activeCell="D22" sqref="D22"/>
    </sheetView>
  </sheetViews>
  <sheetFormatPr defaultRowHeight="14.5" x14ac:dyDescent="0.35"/>
  <cols>
    <col min="1" max="1" width="3.26953125" bestFit="1" customWidth="1"/>
    <col min="2" max="2" width="25.26953125" customWidth="1"/>
    <col min="3" max="3" width="12.7265625" bestFit="1" customWidth="1"/>
    <col min="4" max="4" width="15.26953125" bestFit="1" customWidth="1"/>
  </cols>
  <sheetData>
    <row r="1" spans="1:4" x14ac:dyDescent="0.35">
      <c r="A1" s="45" t="s">
        <v>4</v>
      </c>
      <c r="B1" s="45" t="s">
        <v>107</v>
      </c>
      <c r="C1" s="45" t="s">
        <v>108</v>
      </c>
      <c r="D1" s="45" t="s">
        <v>67</v>
      </c>
    </row>
    <row r="2" spans="1:4" x14ac:dyDescent="0.35">
      <c r="A2" s="30">
        <v>1</v>
      </c>
      <c r="B2" s="48" t="s">
        <v>109</v>
      </c>
      <c r="C2" s="28">
        <v>0</v>
      </c>
      <c r="D2" s="28">
        <f>ROUND(C2*Дано!$B$32,-2)</f>
        <v>0</v>
      </c>
    </row>
    <row r="3" spans="1:4" x14ac:dyDescent="0.35">
      <c r="A3" s="30">
        <v>2</v>
      </c>
      <c r="B3" s="48" t="s">
        <v>109</v>
      </c>
      <c r="C3" s="28">
        <v>0</v>
      </c>
      <c r="D3" s="28">
        <f>ROUND(C3*Дано!$B$32,-2)</f>
        <v>0</v>
      </c>
    </row>
    <row r="4" spans="1:4" x14ac:dyDescent="0.35">
      <c r="A4" s="30">
        <v>3</v>
      </c>
      <c r="B4" s="48" t="s">
        <v>109</v>
      </c>
      <c r="C4" s="28">
        <v>0</v>
      </c>
      <c r="D4" s="28">
        <f>ROUND(C4*Дано!$B$32,-2)</f>
        <v>0</v>
      </c>
    </row>
    <row r="5" spans="1:4" x14ac:dyDescent="0.35">
      <c r="A5" s="30">
        <v>4</v>
      </c>
      <c r="B5" s="48" t="s">
        <v>109</v>
      </c>
      <c r="C5" s="28">
        <v>0</v>
      </c>
      <c r="D5" s="28">
        <f>ROUND(C5*Дано!$B$32,-2)</f>
        <v>0</v>
      </c>
    </row>
    <row r="6" spans="1:4" x14ac:dyDescent="0.35">
      <c r="A6" s="30">
        <v>5</v>
      </c>
      <c r="B6" s="48" t="s">
        <v>109</v>
      </c>
      <c r="C6" s="28">
        <v>0</v>
      </c>
      <c r="D6" s="28">
        <f>ROUND(C6*Дано!$B$32,-2)</f>
        <v>0</v>
      </c>
    </row>
    <row r="7" spans="1:4" x14ac:dyDescent="0.35">
      <c r="A7" s="30">
        <v>6</v>
      </c>
      <c r="B7" s="48" t="s">
        <v>109</v>
      </c>
      <c r="C7" s="28">
        <v>0</v>
      </c>
      <c r="D7" s="28">
        <f>ROUND(C7*Дано!$B$32,-2)</f>
        <v>0</v>
      </c>
    </row>
    <row r="8" spans="1:4" x14ac:dyDescent="0.35">
      <c r="A8" s="30">
        <v>7</v>
      </c>
      <c r="B8" s="48" t="s">
        <v>109</v>
      </c>
      <c r="C8" s="28">
        <v>0</v>
      </c>
      <c r="D8" s="28">
        <f>ROUND(C8*Дано!$B$32,-2)</f>
        <v>0</v>
      </c>
    </row>
    <row r="9" spans="1:4" x14ac:dyDescent="0.35">
      <c r="A9" s="30">
        <v>8</v>
      </c>
      <c r="B9" s="48" t="s">
        <v>109</v>
      </c>
      <c r="C9" s="28">
        <v>0</v>
      </c>
      <c r="D9" s="28">
        <f>ROUND(C9*Дано!$B$32,-2)</f>
        <v>0</v>
      </c>
    </row>
    <row r="10" spans="1:4" s="29" customFormat="1" x14ac:dyDescent="0.35">
      <c r="A10" s="30">
        <v>9</v>
      </c>
      <c r="B10" s="48" t="s">
        <v>109</v>
      </c>
      <c r="C10" s="28">
        <v>0</v>
      </c>
      <c r="D10" s="28">
        <f>ROUND(C10*Дано!$B$32,-2)</f>
        <v>0</v>
      </c>
    </row>
    <row r="11" spans="1:4" s="29" customFormat="1" x14ac:dyDescent="0.35">
      <c r="A11" s="30">
        <v>10</v>
      </c>
      <c r="B11" s="48" t="s">
        <v>109</v>
      </c>
      <c r="C11" s="28">
        <v>0</v>
      </c>
      <c r="D11" s="28">
        <f>ROUND(C11*Дано!$B$32,-2)</f>
        <v>0</v>
      </c>
    </row>
    <row r="12" spans="1:4" s="29" customFormat="1" x14ac:dyDescent="0.35">
      <c r="A12" s="30">
        <v>11</v>
      </c>
      <c r="B12" s="48" t="s">
        <v>109</v>
      </c>
      <c r="C12" s="28">
        <v>0</v>
      </c>
      <c r="D12" s="28">
        <f>ROUND(C12*Дано!$B$32,-2)</f>
        <v>0</v>
      </c>
    </row>
    <row r="13" spans="1:4" s="29" customFormat="1" x14ac:dyDescent="0.35">
      <c r="A13" s="30">
        <v>12</v>
      </c>
      <c r="B13" s="48" t="s">
        <v>109</v>
      </c>
      <c r="C13" s="28">
        <v>0</v>
      </c>
      <c r="D13" s="28">
        <f>ROUND(C13*Дано!$B$32,-2)</f>
        <v>0</v>
      </c>
    </row>
    <row r="14" spans="1:4" s="29" customFormat="1" x14ac:dyDescent="0.35">
      <c r="A14" s="30">
        <v>13</v>
      </c>
      <c r="B14" s="48" t="s">
        <v>109</v>
      </c>
      <c r="C14" s="28">
        <v>0</v>
      </c>
      <c r="D14" s="28">
        <f>ROUND(C14*Дано!$B$32,-2)</f>
        <v>0</v>
      </c>
    </row>
    <row r="15" spans="1:4" s="29" customFormat="1" x14ac:dyDescent="0.35">
      <c r="A15" s="30">
        <v>14</v>
      </c>
      <c r="B15" s="48" t="s">
        <v>109</v>
      </c>
      <c r="C15" s="28">
        <v>0</v>
      </c>
      <c r="D15" s="28">
        <f>ROUND(C15*Дано!$B$32,-2)</f>
        <v>0</v>
      </c>
    </row>
    <row r="16" spans="1:4" s="29" customFormat="1" x14ac:dyDescent="0.35">
      <c r="A16" s="30">
        <v>15</v>
      </c>
      <c r="B16" s="48" t="s">
        <v>109</v>
      </c>
      <c r="C16" s="28">
        <v>0</v>
      </c>
      <c r="D16" s="28">
        <f>ROUND(C16*Дано!$B$32,-2)</f>
        <v>0</v>
      </c>
    </row>
    <row r="17" spans="1:4" s="29" customFormat="1" x14ac:dyDescent="0.35">
      <c r="A17" s="30">
        <v>16</v>
      </c>
      <c r="B17" s="48" t="s">
        <v>109</v>
      </c>
      <c r="C17" s="28">
        <v>0</v>
      </c>
      <c r="D17" s="28">
        <f>ROUND(C17*Дано!$B$32,-2)</f>
        <v>0</v>
      </c>
    </row>
    <row r="18" spans="1:4" s="29" customFormat="1" x14ac:dyDescent="0.35">
      <c r="A18" s="30">
        <v>17</v>
      </c>
      <c r="B18" s="48" t="s">
        <v>109</v>
      </c>
      <c r="C18" s="28">
        <v>0</v>
      </c>
      <c r="D18" s="28">
        <f>ROUND(C18*Дано!$B$32,-2)</f>
        <v>0</v>
      </c>
    </row>
    <row r="19" spans="1:4" s="29" customFormat="1" x14ac:dyDescent="0.35">
      <c r="A19" s="30">
        <v>18</v>
      </c>
      <c r="B19" s="48" t="s">
        <v>109</v>
      </c>
      <c r="C19" s="28">
        <v>0</v>
      </c>
      <c r="D19" s="28">
        <f>ROUND(C19*Дано!$B$32,-2)</f>
        <v>0</v>
      </c>
    </row>
    <row r="20" spans="1:4" s="29" customFormat="1" x14ac:dyDescent="0.35">
      <c r="A20" s="30">
        <v>19</v>
      </c>
      <c r="B20" s="48" t="s">
        <v>109</v>
      </c>
      <c r="C20" s="28">
        <v>0</v>
      </c>
      <c r="D20" s="28">
        <f>ROUND(C20*Дано!$B$32,-2)</f>
        <v>0</v>
      </c>
    </row>
    <row r="21" spans="1:4" s="29" customFormat="1" x14ac:dyDescent="0.35">
      <c r="A21" s="30">
        <v>20</v>
      </c>
      <c r="B21" s="48" t="s">
        <v>109</v>
      </c>
      <c r="C21" s="28">
        <v>0</v>
      </c>
      <c r="D21" s="28">
        <f>ROUND(C21*Дано!$B$32,-2)</f>
        <v>0</v>
      </c>
    </row>
    <row r="22" spans="1:4" x14ac:dyDescent="0.35">
      <c r="C22" s="32">
        <f>AVERAGE(C2:C21)</f>
        <v>0</v>
      </c>
      <c r="D22" s="32">
        <f>AVERAGE(D2:D21)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1"/>
  <sheetViews>
    <sheetView workbookViewId="0">
      <selection activeCell="H2" sqref="H2"/>
    </sheetView>
  </sheetViews>
  <sheetFormatPr defaultRowHeight="14.5" x14ac:dyDescent="0.35"/>
  <cols>
    <col min="1" max="1" width="3.81640625" bestFit="1" customWidth="1"/>
    <col min="2" max="2" width="56.26953125" customWidth="1"/>
    <col min="3" max="3" width="7" bestFit="1" customWidth="1"/>
    <col min="4" max="4" width="7.7265625" customWidth="1"/>
    <col min="5" max="5" width="11.26953125" customWidth="1"/>
    <col min="7" max="8" width="11.7265625" customWidth="1"/>
    <col min="9" max="9" width="12.7265625" bestFit="1" customWidth="1"/>
    <col min="10" max="10" width="14.26953125" bestFit="1" customWidth="1"/>
  </cols>
  <sheetData>
    <row r="1" spans="1:12" x14ac:dyDescent="0.35">
      <c r="A1" s="45" t="s">
        <v>4</v>
      </c>
      <c r="B1" s="45" t="s">
        <v>106</v>
      </c>
      <c r="C1" s="45" t="s">
        <v>54</v>
      </c>
      <c r="D1" s="45" t="s">
        <v>105</v>
      </c>
      <c r="E1" s="45" t="s">
        <v>56</v>
      </c>
      <c r="F1" s="27"/>
      <c r="G1" s="42" t="s">
        <v>105</v>
      </c>
      <c r="H1" s="42" t="s">
        <v>56</v>
      </c>
      <c r="I1" s="27"/>
      <c r="J1" s="27"/>
    </row>
    <row r="2" spans="1:12" x14ac:dyDescent="0.35">
      <c r="A2" s="30"/>
      <c r="B2" s="30"/>
      <c r="C2" s="117"/>
      <c r="D2" s="120"/>
      <c r="E2" s="120"/>
      <c r="F2" s="27"/>
      <c r="G2" s="44">
        <v>0</v>
      </c>
      <c r="H2" s="44">
        <v>0</v>
      </c>
      <c r="I2" s="49"/>
      <c r="J2" s="50"/>
      <c r="K2" s="29"/>
      <c r="L2" s="29"/>
    </row>
    <row r="3" spans="1:12" x14ac:dyDescent="0.35">
      <c r="A3" s="30"/>
      <c r="B3" s="30"/>
      <c r="C3" s="117"/>
      <c r="D3" s="120"/>
      <c r="E3" s="120"/>
      <c r="F3" s="27"/>
      <c r="G3" s="129" t="s">
        <v>303</v>
      </c>
      <c r="H3" s="129" t="s">
        <v>304</v>
      </c>
      <c r="I3" s="49"/>
      <c r="J3" s="50"/>
      <c r="K3" s="29"/>
      <c r="L3" s="29"/>
    </row>
    <row r="4" spans="1:12" s="29" customFormat="1" x14ac:dyDescent="0.35">
      <c r="A4" s="30"/>
      <c r="B4" s="30"/>
      <c r="C4" s="117"/>
      <c r="D4" s="120"/>
      <c r="E4" s="120"/>
      <c r="F4" s="27"/>
      <c r="G4" s="44">
        <v>0</v>
      </c>
      <c r="H4" s="44">
        <f>ROUND(H2/Дано!B32,2)</f>
        <v>0</v>
      </c>
      <c r="I4" s="49"/>
      <c r="J4" s="50"/>
    </row>
    <row r="5" spans="1:12" s="29" customFormat="1" x14ac:dyDescent="0.35">
      <c r="A5" s="30"/>
      <c r="B5" s="30"/>
      <c r="C5" s="117"/>
      <c r="D5" s="120"/>
      <c r="E5" s="120"/>
      <c r="F5" s="27"/>
      <c r="G5" s="27"/>
      <c r="H5" s="49"/>
      <c r="I5" s="49"/>
      <c r="J5" s="50"/>
    </row>
    <row r="6" spans="1:12" s="29" customFormat="1" x14ac:dyDescent="0.35">
      <c r="A6" s="30"/>
      <c r="B6" s="30"/>
      <c r="C6" s="117"/>
      <c r="D6" s="120"/>
      <c r="E6" s="120"/>
      <c r="F6" s="27"/>
      <c r="G6" s="27"/>
      <c r="H6" s="49"/>
      <c r="I6" s="49"/>
      <c r="J6" s="50"/>
    </row>
    <row r="7" spans="1:12" s="29" customFormat="1" x14ac:dyDescent="0.35">
      <c r="A7" s="30"/>
      <c r="B7" s="30"/>
      <c r="C7" s="117"/>
      <c r="D7" s="120"/>
      <c r="E7" s="120"/>
      <c r="F7" s="27"/>
      <c r="G7" s="27"/>
      <c r="H7" s="49"/>
      <c r="I7" s="49"/>
      <c r="J7" s="50"/>
    </row>
    <row r="8" spans="1:12" s="29" customFormat="1" x14ac:dyDescent="0.35">
      <c r="A8" s="30"/>
      <c r="B8" s="30"/>
      <c r="C8" s="117"/>
      <c r="D8" s="120"/>
      <c r="E8" s="120"/>
      <c r="F8" s="27"/>
      <c r="G8" s="27"/>
      <c r="H8" s="40"/>
      <c r="I8" s="40"/>
      <c r="J8" s="27"/>
    </row>
    <row r="9" spans="1:12" s="29" customFormat="1" x14ac:dyDescent="0.35">
      <c r="A9" s="30"/>
      <c r="B9" s="30"/>
      <c r="C9" s="117"/>
      <c r="D9" s="120"/>
      <c r="E9" s="120"/>
      <c r="F9" s="27"/>
      <c r="G9" s="27"/>
      <c r="H9" s="27"/>
      <c r="I9" s="27"/>
      <c r="J9" s="27"/>
    </row>
    <row r="10" spans="1:12" s="29" customFormat="1" x14ac:dyDescent="0.35">
      <c r="A10" s="30"/>
      <c r="B10" s="30"/>
      <c r="C10" s="117"/>
      <c r="D10" s="120"/>
      <c r="E10" s="120"/>
      <c r="F10" s="27"/>
      <c r="G10" s="27"/>
      <c r="H10" s="49"/>
      <c r="I10" s="49"/>
      <c r="J10" s="50"/>
    </row>
    <row r="11" spans="1:12" s="29" customFormat="1" x14ac:dyDescent="0.35">
      <c r="A11" s="30"/>
      <c r="B11" s="30"/>
      <c r="C11" s="117"/>
      <c r="D11" s="120"/>
      <c r="E11" s="120"/>
      <c r="F11" s="27"/>
      <c r="G11" s="27"/>
      <c r="H11" s="40"/>
      <c r="I11" s="40"/>
      <c r="J11" s="27"/>
    </row>
    <row r="12" spans="1:12" s="29" customFormat="1" x14ac:dyDescent="0.35">
      <c r="A12" s="30"/>
      <c r="B12" s="30"/>
      <c r="C12" s="117"/>
      <c r="D12" s="120"/>
      <c r="E12" s="120"/>
      <c r="F12" s="27"/>
      <c r="G12" s="27"/>
      <c r="H12" s="27"/>
      <c r="I12" s="27"/>
      <c r="J12" s="27"/>
    </row>
    <row r="13" spans="1:12" s="29" customFormat="1" x14ac:dyDescent="0.35">
      <c r="A13" s="30"/>
      <c r="B13" s="30"/>
      <c r="C13" s="117"/>
      <c r="D13" s="120"/>
      <c r="E13" s="120"/>
      <c r="F13" s="27"/>
      <c r="G13" s="27"/>
      <c r="H13" s="49"/>
      <c r="I13" s="49"/>
      <c r="J13" s="50"/>
    </row>
    <row r="14" spans="1:12" s="29" customFormat="1" x14ac:dyDescent="0.35">
      <c r="A14" s="30"/>
      <c r="B14" s="30"/>
      <c r="C14" s="117"/>
      <c r="D14" s="120"/>
      <c r="E14" s="120"/>
      <c r="F14" s="27"/>
      <c r="G14" s="27"/>
      <c r="H14" s="49"/>
      <c r="I14" s="49"/>
      <c r="J14" s="50"/>
    </row>
    <row r="15" spans="1:12" s="29" customFormat="1" x14ac:dyDescent="0.35">
      <c r="A15" s="30"/>
      <c r="B15" s="30"/>
      <c r="C15" s="117"/>
      <c r="D15" s="120"/>
      <c r="E15" s="120"/>
      <c r="F15" s="27"/>
      <c r="G15" s="27"/>
      <c r="H15" s="40"/>
      <c r="I15" s="40"/>
      <c r="J15" s="27"/>
    </row>
    <row r="16" spans="1:12" s="29" customFormat="1" x14ac:dyDescent="0.35">
      <c r="A16" s="30"/>
      <c r="B16" s="30"/>
      <c r="C16" s="117"/>
      <c r="D16" s="120"/>
      <c r="E16" s="120"/>
      <c r="F16" s="27"/>
      <c r="G16" s="27"/>
      <c r="H16" s="27"/>
      <c r="I16" s="27"/>
      <c r="J16" s="27"/>
    </row>
    <row r="17" spans="1:12" s="29" customFormat="1" x14ac:dyDescent="0.35">
      <c r="A17" s="30"/>
      <c r="B17" s="30"/>
      <c r="C17" s="117"/>
      <c r="D17" s="120"/>
      <c r="E17" s="120"/>
      <c r="F17" s="27"/>
      <c r="G17" s="27"/>
      <c r="H17" s="27"/>
      <c r="I17" s="27"/>
      <c r="J17" s="27"/>
    </row>
    <row r="18" spans="1:12" s="29" customFormat="1" x14ac:dyDescent="0.35">
      <c r="A18" s="30"/>
      <c r="B18" s="30"/>
      <c r="C18" s="117"/>
      <c r="D18" s="120"/>
      <c r="E18" s="120"/>
      <c r="F18" s="27"/>
      <c r="G18" s="27"/>
      <c r="H18" s="49"/>
      <c r="I18" s="49"/>
      <c r="J18" s="50"/>
    </row>
    <row r="19" spans="1:12" s="29" customFormat="1" x14ac:dyDescent="0.35">
      <c r="A19" s="30"/>
      <c r="B19" s="30"/>
      <c r="C19" s="117"/>
      <c r="D19" s="120"/>
      <c r="E19" s="120"/>
      <c r="F19" s="27"/>
      <c r="G19" s="27"/>
      <c r="H19" s="49"/>
      <c r="I19" s="49"/>
      <c r="J19" s="50"/>
    </row>
    <row r="20" spans="1:12" s="29" customFormat="1" x14ac:dyDescent="0.35">
      <c r="A20" s="30"/>
      <c r="B20" s="30"/>
      <c r="C20" s="117"/>
      <c r="D20" s="120"/>
      <c r="E20" s="120"/>
      <c r="F20" s="27"/>
      <c r="G20" s="27"/>
      <c r="H20" s="40"/>
      <c r="I20" s="40"/>
      <c r="J20" s="27"/>
    </row>
    <row r="21" spans="1:12" s="29" customFormat="1" x14ac:dyDescent="0.35">
      <c r="A21" s="30"/>
      <c r="B21" s="30"/>
      <c r="C21" s="117"/>
      <c r="D21" s="120"/>
      <c r="E21" s="120"/>
      <c r="F21" s="27"/>
      <c r="G21" s="27"/>
      <c r="H21" s="27"/>
      <c r="I21" s="27"/>
      <c r="J21" s="27"/>
    </row>
    <row r="22" spans="1:12" s="29" customFormat="1" x14ac:dyDescent="0.35">
      <c r="A22" s="30"/>
      <c r="B22" s="30"/>
      <c r="C22" s="117"/>
      <c r="D22" s="120"/>
      <c r="E22" s="120"/>
      <c r="F22" s="27"/>
      <c r="G22" s="27"/>
      <c r="H22" s="27"/>
      <c r="I22" s="27"/>
      <c r="J22" s="27"/>
    </row>
    <row r="23" spans="1:12" s="29" customFormat="1" x14ac:dyDescent="0.35">
      <c r="A23" s="30"/>
      <c r="B23" s="30"/>
      <c r="C23" s="117"/>
      <c r="D23" s="120"/>
      <c r="E23" s="120"/>
      <c r="F23" s="27"/>
      <c r="G23" s="27"/>
      <c r="H23" s="49"/>
      <c r="I23" s="49"/>
      <c r="J23" s="50"/>
    </row>
    <row r="24" spans="1:12" s="29" customFormat="1" x14ac:dyDescent="0.35">
      <c r="A24" s="30"/>
      <c r="B24" s="30"/>
      <c r="C24" s="117"/>
      <c r="D24" s="120"/>
      <c r="E24" s="120"/>
      <c r="F24" s="27"/>
      <c r="G24" s="27"/>
      <c r="H24" s="49"/>
      <c r="I24" s="49"/>
      <c r="J24" s="50"/>
    </row>
    <row r="25" spans="1:12" s="29" customFormat="1" x14ac:dyDescent="0.35">
      <c r="A25" s="30"/>
      <c r="B25" s="30"/>
      <c r="C25" s="117"/>
      <c r="D25" s="120"/>
      <c r="E25" s="120"/>
      <c r="F25" s="27"/>
      <c r="G25" s="27"/>
      <c r="H25" s="49"/>
      <c r="I25" s="49"/>
      <c r="J25" s="50"/>
    </row>
    <row r="26" spans="1:12" s="29" customFormat="1" x14ac:dyDescent="0.35">
      <c r="A26" s="30"/>
      <c r="B26" s="30"/>
      <c r="C26" s="117"/>
      <c r="D26" s="120"/>
      <c r="E26" s="120"/>
      <c r="F26" s="27"/>
      <c r="G26" s="27"/>
      <c r="H26" s="40"/>
      <c r="I26" s="40"/>
      <c r="J26" s="27"/>
    </row>
    <row r="27" spans="1:12" s="29" customFormat="1" x14ac:dyDescent="0.35">
      <c r="A27" s="30"/>
      <c r="B27" s="30"/>
      <c r="C27" s="117"/>
      <c r="D27" s="120"/>
      <c r="E27" s="120"/>
      <c r="F27" s="27"/>
      <c r="G27" s="27"/>
      <c r="H27" s="27"/>
      <c r="I27" s="27"/>
      <c r="J27" s="27"/>
    </row>
    <row r="28" spans="1:12" s="29" customFormat="1" x14ac:dyDescent="0.35">
      <c r="A28" s="30"/>
      <c r="B28" s="30"/>
      <c r="C28" s="117"/>
      <c r="D28" s="120"/>
      <c r="E28" s="120"/>
      <c r="F28" s="27"/>
      <c r="G28" s="27"/>
      <c r="H28" s="27"/>
      <c r="I28" s="27"/>
      <c r="J28" s="27"/>
    </row>
    <row r="29" spans="1:12" s="29" customFormat="1" x14ac:dyDescent="0.35">
      <c r="A29" s="30"/>
      <c r="B29" s="30"/>
      <c r="C29" s="117"/>
      <c r="D29" s="120"/>
      <c r="E29" s="120"/>
      <c r="F29" s="27"/>
      <c r="G29" s="27"/>
      <c r="H29" s="27"/>
      <c r="I29" s="27"/>
      <c r="J29" s="27"/>
    </row>
    <row r="30" spans="1:12" x14ac:dyDescent="0.35">
      <c r="A30" s="30"/>
      <c r="B30" s="30"/>
      <c r="C30" s="117"/>
      <c r="D30" s="120"/>
      <c r="E30" s="120"/>
      <c r="F30" s="27"/>
      <c r="G30" s="27"/>
      <c r="H30" s="49"/>
      <c r="I30" s="49"/>
      <c r="J30" s="50"/>
      <c r="K30" s="29"/>
      <c r="L30" s="29"/>
    </row>
    <row r="31" spans="1:12" x14ac:dyDescent="0.35">
      <c r="A31" s="30"/>
      <c r="B31" s="30"/>
      <c r="C31" s="117"/>
      <c r="D31" s="120"/>
      <c r="E31" s="120"/>
      <c r="F31" s="27"/>
      <c r="G31" s="27"/>
      <c r="H31" s="49"/>
      <c r="I31" s="49"/>
      <c r="J31" s="50"/>
      <c r="K31" s="29"/>
      <c r="L31" s="29"/>
    </row>
    <row r="32" spans="1:12" x14ac:dyDescent="0.35">
      <c r="A32" s="30"/>
      <c r="B32" s="30"/>
      <c r="C32" s="117"/>
      <c r="D32" s="120"/>
      <c r="E32" s="120"/>
      <c r="F32" s="27"/>
      <c r="G32" s="27"/>
      <c r="H32" s="49"/>
      <c r="I32" s="49"/>
      <c r="J32" s="50"/>
      <c r="K32" s="29"/>
      <c r="L32" s="29"/>
    </row>
    <row r="33" spans="1:12" x14ac:dyDescent="0.35">
      <c r="A33" s="30"/>
      <c r="B33" s="30"/>
      <c r="C33" s="117"/>
      <c r="D33" s="120"/>
      <c r="E33" s="120"/>
      <c r="F33" s="27"/>
      <c r="G33" s="27"/>
      <c r="H33" s="49"/>
      <c r="I33" s="49"/>
      <c r="J33" s="50"/>
      <c r="K33" s="29"/>
      <c r="L33" s="29"/>
    </row>
    <row r="34" spans="1:12" x14ac:dyDescent="0.35">
      <c r="A34" s="30"/>
      <c r="B34" s="30"/>
      <c r="C34" s="117"/>
      <c r="D34" s="120"/>
      <c r="E34" s="120"/>
      <c r="F34" s="27"/>
      <c r="G34" s="27"/>
      <c r="H34" s="40"/>
      <c r="I34" s="40"/>
      <c r="J34" s="27"/>
      <c r="K34" s="29"/>
      <c r="L34" s="29"/>
    </row>
    <row r="35" spans="1:12" x14ac:dyDescent="0.35">
      <c r="A35" s="30"/>
      <c r="B35" s="30"/>
      <c r="C35" s="117"/>
      <c r="D35" s="120"/>
      <c r="E35" s="120"/>
      <c r="F35" s="27"/>
      <c r="G35" s="27"/>
      <c r="H35" s="27"/>
      <c r="I35" s="27"/>
      <c r="J35" s="27"/>
    </row>
    <row r="36" spans="1:12" s="29" customFormat="1" x14ac:dyDescent="0.35">
      <c r="A36" s="30"/>
      <c r="B36" s="30"/>
      <c r="C36" s="117"/>
      <c r="D36" s="120"/>
      <c r="E36" s="120"/>
      <c r="F36" s="27"/>
      <c r="G36" s="27"/>
      <c r="H36" s="49"/>
      <c r="I36" s="49"/>
      <c r="J36" s="50"/>
    </row>
    <row r="37" spans="1:12" s="29" customFormat="1" x14ac:dyDescent="0.35">
      <c r="A37" s="30"/>
      <c r="B37" s="30"/>
      <c r="C37" s="117"/>
      <c r="D37" s="120"/>
      <c r="E37" s="120"/>
      <c r="F37" s="27"/>
      <c r="G37" s="27"/>
      <c r="H37" s="49"/>
      <c r="I37" s="49"/>
      <c r="J37" s="50"/>
    </row>
    <row r="38" spans="1:12" s="29" customFormat="1" x14ac:dyDescent="0.35">
      <c r="A38" s="30"/>
      <c r="B38" s="30"/>
      <c r="C38" s="117"/>
      <c r="D38" s="120"/>
      <c r="E38" s="120"/>
      <c r="F38" s="27"/>
      <c r="G38" s="27"/>
      <c r="H38" s="40"/>
      <c r="I38" s="40"/>
      <c r="J38" s="27"/>
    </row>
    <row r="39" spans="1:12" s="29" customFormat="1" x14ac:dyDescent="0.35">
      <c r="A39" s="30"/>
      <c r="B39" s="30"/>
      <c r="C39" s="117"/>
      <c r="D39" s="120"/>
      <c r="E39" s="120"/>
      <c r="F39" s="27"/>
      <c r="G39" s="27"/>
      <c r="H39" s="27"/>
      <c r="I39" s="27"/>
      <c r="J39" s="27"/>
    </row>
    <row r="40" spans="1:12" x14ac:dyDescent="0.35">
      <c r="A40" s="30"/>
      <c r="B40" s="30"/>
      <c r="C40" s="117"/>
      <c r="D40" s="120"/>
      <c r="E40" s="120"/>
      <c r="F40" s="27"/>
      <c r="G40" s="27"/>
      <c r="H40" s="27"/>
      <c r="I40" s="27"/>
      <c r="J40" s="27"/>
    </row>
    <row r="41" spans="1:12" s="29" customFormat="1" x14ac:dyDescent="0.35">
      <c r="A41" s="30"/>
      <c r="B41" s="30"/>
      <c r="C41" s="117"/>
      <c r="D41" s="120"/>
      <c r="E41" s="120"/>
      <c r="F41" s="27"/>
      <c r="G41" s="27"/>
      <c r="H41" s="49"/>
      <c r="I41" s="49"/>
      <c r="J41" s="50"/>
    </row>
    <row r="42" spans="1:12" s="29" customFormat="1" x14ac:dyDescent="0.35">
      <c r="A42" s="30"/>
      <c r="B42" s="30"/>
      <c r="C42" s="117"/>
      <c r="D42" s="120"/>
      <c r="E42" s="120"/>
      <c r="F42" s="27"/>
      <c r="G42" s="27"/>
      <c r="H42" s="49"/>
      <c r="I42" s="49"/>
      <c r="J42" s="50"/>
    </row>
    <row r="43" spans="1:12" s="29" customFormat="1" x14ac:dyDescent="0.35">
      <c r="A43" s="30"/>
      <c r="B43" s="30"/>
      <c r="C43" s="117"/>
      <c r="D43" s="120"/>
      <c r="E43" s="120"/>
      <c r="F43" s="27"/>
      <c r="G43" s="27"/>
      <c r="H43" s="40"/>
      <c r="I43" s="40"/>
      <c r="J43" s="27"/>
    </row>
    <row r="44" spans="1:12" s="29" customFormat="1" x14ac:dyDescent="0.35">
      <c r="A44" s="30"/>
      <c r="B44" s="30"/>
      <c r="C44" s="117"/>
      <c r="D44" s="120"/>
      <c r="E44" s="120"/>
      <c r="F44" s="27"/>
      <c r="G44" s="27"/>
      <c r="H44" s="27"/>
      <c r="I44" s="27"/>
      <c r="J44" s="27"/>
    </row>
    <row r="45" spans="1:12" s="29" customFormat="1" x14ac:dyDescent="0.35">
      <c r="A45" s="30"/>
      <c r="B45" s="30"/>
      <c r="C45" s="117"/>
      <c r="D45" s="120"/>
      <c r="E45" s="120"/>
      <c r="F45" s="27"/>
      <c r="G45" s="27"/>
      <c r="H45" s="27"/>
      <c r="I45" s="27"/>
      <c r="J45" s="27"/>
    </row>
    <row r="46" spans="1:12" s="29" customFormat="1" x14ac:dyDescent="0.35">
      <c r="A46" s="30"/>
      <c r="B46" s="30"/>
      <c r="C46" s="117"/>
      <c r="D46" s="120"/>
      <c r="E46" s="120"/>
      <c r="F46" s="27"/>
      <c r="G46" s="27"/>
      <c r="H46" s="49"/>
      <c r="I46" s="49"/>
      <c r="J46" s="50"/>
    </row>
    <row r="47" spans="1:12" s="29" customFormat="1" x14ac:dyDescent="0.35">
      <c r="A47" s="30"/>
      <c r="B47" s="30"/>
      <c r="C47" s="117"/>
      <c r="D47" s="120"/>
      <c r="E47" s="120"/>
      <c r="F47" s="27"/>
      <c r="G47" s="27"/>
      <c r="H47" s="49"/>
      <c r="I47" s="49"/>
      <c r="J47" s="50"/>
    </row>
    <row r="48" spans="1:12" s="29" customFormat="1" x14ac:dyDescent="0.35">
      <c r="A48" s="30"/>
      <c r="B48" s="30"/>
      <c r="C48" s="117"/>
      <c r="D48" s="120"/>
      <c r="E48" s="120"/>
      <c r="F48" s="27"/>
      <c r="G48" s="27"/>
      <c r="H48" s="49"/>
      <c r="I48" s="49"/>
      <c r="J48" s="50"/>
    </row>
    <row r="49" spans="1:10" s="29" customFormat="1" x14ac:dyDescent="0.35">
      <c r="A49" s="30"/>
      <c r="B49" s="30"/>
      <c r="C49" s="117"/>
      <c r="D49" s="120"/>
      <c r="E49" s="120"/>
      <c r="F49" s="27"/>
      <c r="G49" s="27"/>
      <c r="H49" s="40"/>
      <c r="I49" s="40"/>
      <c r="J49" s="27"/>
    </row>
    <row r="50" spans="1:10" s="29" customFormat="1" x14ac:dyDescent="0.35">
      <c r="A50" s="30"/>
      <c r="B50" s="30"/>
      <c r="C50" s="117"/>
      <c r="D50" s="120"/>
      <c r="E50" s="120"/>
      <c r="F50" s="27"/>
      <c r="G50" s="27"/>
      <c r="H50" s="27"/>
      <c r="I50" s="27"/>
      <c r="J50" s="27"/>
    </row>
    <row r="51" spans="1:10" s="29" customFormat="1" x14ac:dyDescent="0.35">
      <c r="A51" s="30"/>
      <c r="B51" s="30"/>
      <c r="C51" s="117"/>
      <c r="D51" s="120"/>
      <c r="E51" s="120"/>
      <c r="F51" s="27"/>
      <c r="G51" s="27"/>
      <c r="H51" s="27"/>
      <c r="I51" s="27"/>
      <c r="J51" s="27"/>
    </row>
    <row r="52" spans="1:10" x14ac:dyDescent="0.35">
      <c r="A52" s="30"/>
      <c r="B52" s="30"/>
      <c r="C52" s="117"/>
      <c r="D52" s="120"/>
      <c r="E52" s="120"/>
      <c r="F52" s="27"/>
      <c r="G52" s="27"/>
      <c r="H52" s="27"/>
      <c r="I52" s="27"/>
      <c r="J52" s="27"/>
    </row>
    <row r="53" spans="1:10" x14ac:dyDescent="0.35">
      <c r="A53" s="30"/>
      <c r="B53" s="30"/>
      <c r="C53" s="117"/>
      <c r="D53" s="120"/>
      <c r="E53" s="120"/>
      <c r="F53" s="27"/>
      <c r="G53" s="27"/>
      <c r="H53" s="27"/>
      <c r="I53" s="27"/>
      <c r="J53" s="27"/>
    </row>
    <row r="54" spans="1:10" x14ac:dyDescent="0.35">
      <c r="A54" s="30"/>
      <c r="B54" s="30"/>
      <c r="C54" s="117"/>
      <c r="D54" s="120"/>
      <c r="E54" s="120"/>
      <c r="F54" s="27"/>
      <c r="G54" s="27"/>
      <c r="H54" s="27"/>
      <c r="I54" s="27"/>
      <c r="J54" s="27"/>
    </row>
    <row r="55" spans="1:10" x14ac:dyDescent="0.35">
      <c r="A55" s="30"/>
      <c r="B55" s="30"/>
      <c r="C55" s="117"/>
      <c r="D55" s="120"/>
      <c r="E55" s="120"/>
    </row>
    <row r="56" spans="1:10" x14ac:dyDescent="0.35">
      <c r="A56" s="30"/>
      <c r="B56" s="30"/>
      <c r="C56" s="117"/>
      <c r="D56" s="120"/>
      <c r="E56" s="120"/>
    </row>
    <row r="57" spans="1:10" x14ac:dyDescent="0.35">
      <c r="A57" s="30"/>
      <c r="B57" s="30"/>
      <c r="C57" s="117"/>
      <c r="D57" s="120"/>
      <c r="E57" s="120"/>
    </row>
    <row r="58" spans="1:10" x14ac:dyDescent="0.35">
      <c r="A58" s="30"/>
      <c r="B58" s="30"/>
      <c r="C58" s="117"/>
      <c r="D58" s="120"/>
      <c r="E58" s="120"/>
    </row>
    <row r="59" spans="1:10" x14ac:dyDescent="0.35">
      <c r="A59" s="30"/>
      <c r="B59" s="30"/>
      <c r="C59" s="117"/>
      <c r="D59" s="120"/>
      <c r="E59" s="120"/>
    </row>
    <row r="60" spans="1:10" x14ac:dyDescent="0.35">
      <c r="A60" s="30"/>
      <c r="B60" s="30"/>
      <c r="C60" s="117"/>
      <c r="D60" s="120"/>
      <c r="E60" s="120"/>
    </row>
    <row r="61" spans="1:10" x14ac:dyDescent="0.35">
      <c r="A61" s="30"/>
      <c r="B61" s="30"/>
      <c r="C61" s="117"/>
      <c r="D61" s="120"/>
      <c r="E61" s="120"/>
    </row>
    <row r="62" spans="1:10" x14ac:dyDescent="0.35">
      <c r="A62" s="30"/>
      <c r="B62" s="30"/>
      <c r="C62" s="117"/>
      <c r="D62" s="120"/>
      <c r="E62" s="120"/>
    </row>
    <row r="63" spans="1:10" x14ac:dyDescent="0.35">
      <c r="A63" s="30"/>
      <c r="B63" s="30"/>
      <c r="C63" s="117"/>
      <c r="D63" s="120"/>
      <c r="E63" s="120"/>
    </row>
    <row r="64" spans="1:10" x14ac:dyDescent="0.35">
      <c r="A64" s="30"/>
      <c r="B64" s="30"/>
      <c r="C64" s="117"/>
      <c r="D64" s="120"/>
      <c r="E64" s="120"/>
    </row>
    <row r="65" spans="1:5" x14ac:dyDescent="0.35">
      <c r="A65" s="30"/>
      <c r="B65" s="30"/>
      <c r="C65" s="117"/>
      <c r="D65" s="120"/>
      <c r="E65" s="120"/>
    </row>
    <row r="66" spans="1:5" x14ac:dyDescent="0.35">
      <c r="A66" s="30"/>
      <c r="B66" s="30"/>
      <c r="C66" s="117"/>
      <c r="D66" s="120"/>
      <c r="E66" s="120"/>
    </row>
    <row r="67" spans="1:5" x14ac:dyDescent="0.35">
      <c r="A67" s="30"/>
      <c r="B67" s="30"/>
      <c r="C67" s="117"/>
      <c r="D67" s="120"/>
      <c r="E67" s="120"/>
    </row>
    <row r="68" spans="1:5" x14ac:dyDescent="0.35">
      <c r="A68" s="30"/>
      <c r="B68" s="30"/>
      <c r="C68" s="117"/>
      <c r="D68" s="120"/>
      <c r="E68" s="120"/>
    </row>
    <row r="69" spans="1:5" x14ac:dyDescent="0.35">
      <c r="A69" s="30"/>
      <c r="B69" s="30"/>
      <c r="C69" s="117"/>
      <c r="D69" s="120"/>
      <c r="E69" s="120"/>
    </row>
    <row r="70" spans="1:5" x14ac:dyDescent="0.35">
      <c r="A70" s="30"/>
      <c r="B70" s="30"/>
      <c r="C70" s="117"/>
      <c r="D70" s="120"/>
      <c r="E70" s="120"/>
    </row>
    <row r="71" spans="1:5" x14ac:dyDescent="0.35">
      <c r="A71" s="30"/>
      <c r="B71" s="30"/>
      <c r="C71" s="117"/>
      <c r="D71" s="120"/>
      <c r="E71" s="120"/>
    </row>
    <row r="72" spans="1:5" x14ac:dyDescent="0.35">
      <c r="A72" s="30"/>
      <c r="B72" s="30"/>
      <c r="C72" s="117"/>
      <c r="D72" s="120"/>
      <c r="E72" s="120"/>
    </row>
    <row r="73" spans="1:5" x14ac:dyDescent="0.35">
      <c r="A73" s="30"/>
      <c r="B73" s="30"/>
      <c r="C73" s="117"/>
      <c r="D73" s="120"/>
      <c r="E73" s="120"/>
    </row>
    <row r="74" spans="1:5" x14ac:dyDescent="0.35">
      <c r="A74" s="30"/>
      <c r="B74" s="30"/>
      <c r="C74" s="117"/>
      <c r="D74" s="120"/>
      <c r="E74" s="120"/>
    </row>
    <row r="75" spans="1:5" x14ac:dyDescent="0.35">
      <c r="A75" s="30"/>
      <c r="B75" s="30"/>
      <c r="C75" s="117"/>
      <c r="D75" s="120"/>
      <c r="E75" s="120"/>
    </row>
    <row r="76" spans="1:5" x14ac:dyDescent="0.35">
      <c r="A76" s="30"/>
      <c r="B76" s="30"/>
      <c r="C76" s="117"/>
      <c r="D76" s="120"/>
      <c r="E76" s="120"/>
    </row>
    <row r="77" spans="1:5" x14ac:dyDescent="0.35">
      <c r="A77" s="30"/>
      <c r="B77" s="30"/>
      <c r="C77" s="117"/>
      <c r="D77" s="120"/>
      <c r="E77" s="120"/>
    </row>
    <row r="78" spans="1:5" x14ac:dyDescent="0.35">
      <c r="A78" s="30"/>
      <c r="B78" s="30"/>
      <c r="C78" s="117"/>
      <c r="D78" s="120"/>
      <c r="E78" s="120"/>
    </row>
    <row r="79" spans="1:5" x14ac:dyDescent="0.35">
      <c r="A79" s="30"/>
      <c r="B79" s="30"/>
      <c r="C79" s="117"/>
      <c r="D79" s="120"/>
      <c r="E79" s="120"/>
    </row>
    <row r="80" spans="1:5" x14ac:dyDescent="0.35">
      <c r="A80" s="30"/>
      <c r="B80" s="30"/>
      <c r="C80" s="117"/>
      <c r="D80" s="120"/>
      <c r="E80" s="120"/>
    </row>
    <row r="81" spans="1:5" x14ac:dyDescent="0.35">
      <c r="A81" s="30"/>
      <c r="B81" s="30"/>
      <c r="C81" s="117"/>
      <c r="D81" s="120"/>
      <c r="E81" s="120"/>
    </row>
    <row r="82" spans="1:5" x14ac:dyDescent="0.35">
      <c r="A82" s="30"/>
      <c r="B82" s="30"/>
      <c r="C82" s="117"/>
      <c r="D82" s="120"/>
      <c r="E82" s="120"/>
    </row>
    <row r="83" spans="1:5" x14ac:dyDescent="0.35">
      <c r="A83" s="30"/>
      <c r="B83" s="30"/>
      <c r="C83" s="117"/>
      <c r="D83" s="120"/>
      <c r="E83" s="120"/>
    </row>
    <row r="84" spans="1:5" x14ac:dyDescent="0.35">
      <c r="A84" s="30"/>
      <c r="B84" s="30"/>
      <c r="C84" s="117"/>
      <c r="D84" s="120"/>
      <c r="E84" s="120"/>
    </row>
    <row r="85" spans="1:5" x14ac:dyDescent="0.35">
      <c r="A85" s="30"/>
      <c r="B85" s="30"/>
      <c r="C85" s="117"/>
      <c r="D85" s="120"/>
      <c r="E85" s="120"/>
    </row>
    <row r="86" spans="1:5" x14ac:dyDescent="0.35">
      <c r="A86" s="30"/>
      <c r="B86" s="30"/>
      <c r="C86" s="117"/>
      <c r="D86" s="120"/>
      <c r="E86" s="120"/>
    </row>
    <row r="87" spans="1:5" x14ac:dyDescent="0.35">
      <c r="A87" s="30"/>
      <c r="B87" s="30"/>
      <c r="C87" s="117"/>
      <c r="D87" s="120"/>
      <c r="E87" s="120"/>
    </row>
    <row r="88" spans="1:5" x14ac:dyDescent="0.35">
      <c r="A88" s="30"/>
      <c r="B88" s="30"/>
      <c r="C88" s="117"/>
      <c r="D88" s="120"/>
      <c r="E88" s="120"/>
    </row>
    <row r="89" spans="1:5" x14ac:dyDescent="0.35">
      <c r="A89" s="30"/>
      <c r="B89" s="30"/>
      <c r="C89" s="117"/>
      <c r="D89" s="120"/>
      <c r="E89" s="120"/>
    </row>
    <row r="90" spans="1:5" x14ac:dyDescent="0.35">
      <c r="A90" s="30"/>
      <c r="B90" s="30"/>
      <c r="C90" s="117"/>
      <c r="D90" s="120"/>
      <c r="E90" s="120"/>
    </row>
    <row r="91" spans="1:5" x14ac:dyDescent="0.35">
      <c r="A91" s="30"/>
      <c r="B91" s="30"/>
      <c r="C91" s="117"/>
      <c r="D91" s="120"/>
      <c r="E91" s="120"/>
    </row>
    <row r="92" spans="1:5" x14ac:dyDescent="0.35">
      <c r="A92" s="30"/>
      <c r="B92" s="30"/>
      <c r="C92" s="117"/>
      <c r="D92" s="120"/>
      <c r="E92" s="120"/>
    </row>
    <row r="93" spans="1:5" x14ac:dyDescent="0.35">
      <c r="A93" s="30"/>
      <c r="B93" s="30"/>
      <c r="C93" s="117"/>
      <c r="D93" s="120"/>
      <c r="E93" s="120"/>
    </row>
    <row r="94" spans="1:5" x14ac:dyDescent="0.35">
      <c r="A94" s="30"/>
      <c r="B94" s="30"/>
      <c r="C94" s="117"/>
      <c r="D94" s="120"/>
      <c r="E94" s="120"/>
    </row>
    <row r="95" spans="1:5" x14ac:dyDescent="0.35">
      <c r="A95" s="30"/>
      <c r="B95" s="30"/>
      <c r="C95" s="117"/>
      <c r="D95" s="120"/>
      <c r="E95" s="120"/>
    </row>
    <row r="96" spans="1:5" x14ac:dyDescent="0.35">
      <c r="A96" s="30"/>
      <c r="B96" s="30"/>
      <c r="C96" s="117"/>
      <c r="D96" s="120"/>
      <c r="E96" s="120"/>
    </row>
    <row r="97" spans="1:5" x14ac:dyDescent="0.35">
      <c r="A97" s="30"/>
      <c r="B97" s="30"/>
      <c r="C97" s="117"/>
      <c r="D97" s="120"/>
      <c r="E97" s="120"/>
    </row>
    <row r="98" spans="1:5" x14ac:dyDescent="0.35">
      <c r="A98" s="30"/>
      <c r="B98" s="30"/>
      <c r="C98" s="117"/>
      <c r="D98" s="120"/>
      <c r="E98" s="120"/>
    </row>
    <row r="99" spans="1:5" x14ac:dyDescent="0.35">
      <c r="A99" s="30"/>
      <c r="B99" s="30"/>
      <c r="C99" s="117"/>
      <c r="D99" s="120"/>
      <c r="E99" s="120"/>
    </row>
    <row r="100" spans="1:5" x14ac:dyDescent="0.35">
      <c r="A100" s="30"/>
      <c r="B100" s="30"/>
      <c r="C100" s="117"/>
      <c r="D100" s="120"/>
      <c r="E100" s="120"/>
    </row>
    <row r="101" spans="1:5" x14ac:dyDescent="0.35">
      <c r="A101" s="30"/>
      <c r="B101" s="30"/>
      <c r="C101" s="117"/>
      <c r="D101" s="120"/>
      <c r="E101" s="1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1"/>
  <sheetViews>
    <sheetView zoomScaleNormal="100" workbookViewId="0">
      <selection activeCell="G4" sqref="G4"/>
    </sheetView>
  </sheetViews>
  <sheetFormatPr defaultColWidth="8.7265625" defaultRowHeight="14.5" x14ac:dyDescent="0.35"/>
  <cols>
    <col min="1" max="1" width="70.26953125" style="29" customWidth="1"/>
    <col min="2" max="2" width="15.453125" style="55" customWidth="1"/>
    <col min="3" max="3" width="12.7265625" style="29" bestFit="1" customWidth="1"/>
    <col min="4" max="4" width="13.453125" style="29" bestFit="1" customWidth="1"/>
    <col min="5" max="6" width="11.26953125" style="29" bestFit="1" customWidth="1"/>
    <col min="7" max="7" width="14.26953125" style="29" bestFit="1" customWidth="1"/>
    <col min="8" max="8" width="17.54296875" style="29" bestFit="1" customWidth="1"/>
    <col min="9" max="9" width="15.7265625" style="29" bestFit="1" customWidth="1"/>
    <col min="10" max="16384" width="8.7265625" style="29"/>
  </cols>
  <sheetData>
    <row r="1" spans="1:7" x14ac:dyDescent="0.35">
      <c r="A1" s="51" t="s">
        <v>110</v>
      </c>
      <c r="B1" s="53"/>
      <c r="C1" s="51"/>
      <c r="E1" s="41" t="s">
        <v>75</v>
      </c>
      <c r="F1" s="41" t="s">
        <v>76</v>
      </c>
      <c r="G1" s="41" t="s">
        <v>77</v>
      </c>
    </row>
    <row r="2" spans="1:7" x14ac:dyDescent="0.35">
      <c r="A2" s="45" t="s">
        <v>112</v>
      </c>
      <c r="B2" s="52" t="s">
        <v>113</v>
      </c>
      <c r="C2" s="45" t="s">
        <v>114</v>
      </c>
      <c r="E2" s="45">
        <v>0.7</v>
      </c>
      <c r="F2" s="45">
        <v>0.5</v>
      </c>
      <c r="G2" s="45">
        <v>0.75</v>
      </c>
    </row>
    <row r="3" spans="1:7" x14ac:dyDescent="0.35">
      <c r="A3" s="30"/>
      <c r="B3" s="56"/>
      <c r="C3" s="28"/>
      <c r="E3" s="41" t="s">
        <v>305</v>
      </c>
      <c r="F3" s="41" t="s">
        <v>113</v>
      </c>
      <c r="G3" s="41" t="s">
        <v>114</v>
      </c>
    </row>
    <row r="4" spans="1:7" x14ac:dyDescent="0.35">
      <c r="A4" s="30"/>
      <c r="B4" s="56"/>
      <c r="C4" s="28"/>
      <c r="E4" s="44"/>
      <c r="F4" s="44"/>
      <c r="G4" s="44"/>
    </row>
    <row r="5" spans="1:7" x14ac:dyDescent="0.35">
      <c r="A5" s="30"/>
      <c r="B5" s="56"/>
      <c r="C5" s="28"/>
    </row>
    <row r="6" spans="1:7" x14ac:dyDescent="0.35">
      <c r="A6" s="30"/>
      <c r="B6" s="56"/>
      <c r="C6" s="28"/>
    </row>
    <row r="7" spans="1:7" x14ac:dyDescent="0.35">
      <c r="A7" s="30"/>
      <c r="B7" s="56"/>
      <c r="C7" s="28"/>
    </row>
    <row r="8" spans="1:7" x14ac:dyDescent="0.35">
      <c r="A8" s="30"/>
      <c r="B8" s="56"/>
      <c r="C8" s="28"/>
    </row>
    <row r="9" spans="1:7" x14ac:dyDescent="0.35">
      <c r="A9" s="30"/>
      <c r="B9" s="56"/>
      <c r="C9" s="28"/>
    </row>
    <row r="10" spans="1:7" x14ac:dyDescent="0.35">
      <c r="A10" s="30"/>
      <c r="B10" s="56"/>
      <c r="C10" s="28"/>
    </row>
    <row r="11" spans="1:7" x14ac:dyDescent="0.35">
      <c r="A11" s="30"/>
      <c r="B11" s="56"/>
      <c r="C11" s="28"/>
    </row>
    <row r="12" spans="1:7" x14ac:dyDescent="0.35">
      <c r="A12" s="30"/>
      <c r="B12" s="56"/>
      <c r="C12" s="28"/>
    </row>
    <row r="13" spans="1:7" x14ac:dyDescent="0.35">
      <c r="A13" s="30"/>
      <c r="B13" s="56"/>
      <c r="C13" s="28"/>
    </row>
    <row r="14" spans="1:7" x14ac:dyDescent="0.35">
      <c r="A14" s="30"/>
      <c r="B14" s="56"/>
      <c r="C14" s="28"/>
    </row>
    <row r="15" spans="1:7" x14ac:dyDescent="0.35">
      <c r="A15" s="30"/>
      <c r="B15" s="56"/>
      <c r="C15" s="28"/>
    </row>
    <row r="16" spans="1:7" x14ac:dyDescent="0.35">
      <c r="A16" s="30"/>
      <c r="B16" s="56"/>
      <c r="C16" s="28"/>
    </row>
    <row r="17" spans="1:3" x14ac:dyDescent="0.35">
      <c r="A17" s="30"/>
      <c r="B17" s="56"/>
      <c r="C17" s="28"/>
    </row>
    <row r="18" spans="1:3" x14ac:dyDescent="0.35">
      <c r="A18" s="30"/>
      <c r="B18" s="56"/>
      <c r="C18" s="28"/>
    </row>
    <row r="19" spans="1:3" x14ac:dyDescent="0.35">
      <c r="A19" s="30"/>
      <c r="B19" s="56"/>
      <c r="C19" s="28"/>
    </row>
    <row r="20" spans="1:3" x14ac:dyDescent="0.35">
      <c r="A20" s="30"/>
      <c r="B20" s="56"/>
      <c r="C20" s="28"/>
    </row>
    <row r="21" spans="1:3" x14ac:dyDescent="0.35">
      <c r="A21" s="30"/>
      <c r="B21" s="56"/>
      <c r="C21" s="28"/>
    </row>
    <row r="22" spans="1:3" x14ac:dyDescent="0.35">
      <c r="A22" s="30"/>
      <c r="B22" s="56"/>
      <c r="C22" s="28"/>
    </row>
    <row r="23" spans="1:3" x14ac:dyDescent="0.35">
      <c r="A23" s="30"/>
      <c r="B23" s="56"/>
      <c r="C23" s="28"/>
    </row>
    <row r="24" spans="1:3" x14ac:dyDescent="0.35">
      <c r="A24" s="30"/>
      <c r="B24" s="56"/>
      <c r="C24" s="28"/>
    </row>
    <row r="25" spans="1:3" x14ac:dyDescent="0.35">
      <c r="A25" s="30"/>
      <c r="B25" s="56"/>
      <c r="C25" s="28"/>
    </row>
    <row r="26" spans="1:3" x14ac:dyDescent="0.35">
      <c r="A26" s="30"/>
      <c r="B26" s="56"/>
      <c r="C26" s="28"/>
    </row>
    <row r="27" spans="1:3" x14ac:dyDescent="0.35">
      <c r="A27" s="30"/>
      <c r="B27" s="56"/>
      <c r="C27" s="28"/>
    </row>
    <row r="28" spans="1:3" x14ac:dyDescent="0.35">
      <c r="A28" s="30"/>
      <c r="B28" s="56"/>
      <c r="C28" s="28"/>
    </row>
    <row r="29" spans="1:3" x14ac:dyDescent="0.35">
      <c r="A29" s="30"/>
      <c r="B29" s="56"/>
      <c r="C29" s="28"/>
    </row>
    <row r="30" spans="1:3" x14ac:dyDescent="0.35">
      <c r="A30" s="30"/>
      <c r="B30" s="56"/>
      <c r="C30" s="28"/>
    </row>
    <row r="31" spans="1:3" x14ac:dyDescent="0.35">
      <c r="A31" s="30"/>
      <c r="B31" s="56"/>
      <c r="C31" s="28"/>
    </row>
    <row r="32" spans="1:3" x14ac:dyDescent="0.35">
      <c r="A32" s="30"/>
      <c r="B32" s="56"/>
      <c r="C32" s="28"/>
    </row>
    <row r="33" spans="1:3" x14ac:dyDescent="0.35">
      <c r="A33" s="30"/>
      <c r="B33" s="56"/>
      <c r="C33" s="28"/>
    </row>
    <row r="34" spans="1:3" x14ac:dyDescent="0.35">
      <c r="A34" s="30"/>
      <c r="B34" s="56"/>
      <c r="C34" s="28"/>
    </row>
    <row r="35" spans="1:3" x14ac:dyDescent="0.35">
      <c r="A35" s="30"/>
      <c r="B35" s="56"/>
      <c r="C35" s="28"/>
    </row>
    <row r="36" spans="1:3" x14ac:dyDescent="0.35">
      <c r="A36" s="30"/>
      <c r="B36" s="56"/>
      <c r="C36" s="28"/>
    </row>
    <row r="37" spans="1:3" x14ac:dyDescent="0.35">
      <c r="A37" s="30"/>
      <c r="B37" s="56"/>
      <c r="C37" s="28"/>
    </row>
    <row r="38" spans="1:3" x14ac:dyDescent="0.35">
      <c r="A38" s="30"/>
      <c r="B38" s="56"/>
      <c r="C38" s="28"/>
    </row>
    <row r="39" spans="1:3" x14ac:dyDescent="0.35">
      <c r="A39" s="30"/>
      <c r="B39" s="56"/>
      <c r="C39" s="28"/>
    </row>
    <row r="40" spans="1:3" x14ac:dyDescent="0.35">
      <c r="A40" s="30"/>
      <c r="B40" s="56"/>
      <c r="C40" s="28"/>
    </row>
    <row r="41" spans="1:3" x14ac:dyDescent="0.35">
      <c r="A41" s="30"/>
      <c r="B41" s="56"/>
      <c r="C41" s="28"/>
    </row>
    <row r="42" spans="1:3" x14ac:dyDescent="0.35">
      <c r="A42" s="30"/>
      <c r="B42" s="56"/>
      <c r="C42" s="28"/>
    </row>
    <row r="43" spans="1:3" x14ac:dyDescent="0.35">
      <c r="A43" s="30"/>
      <c r="B43" s="56"/>
      <c r="C43" s="28"/>
    </row>
    <row r="44" spans="1:3" x14ac:dyDescent="0.35">
      <c r="A44" s="30"/>
      <c r="B44" s="56"/>
      <c r="C44" s="28"/>
    </row>
    <row r="45" spans="1:3" x14ac:dyDescent="0.35">
      <c r="A45" s="30"/>
      <c r="B45" s="56"/>
      <c r="C45" s="28"/>
    </row>
    <row r="46" spans="1:3" x14ac:dyDescent="0.35">
      <c r="A46" s="30"/>
      <c r="B46" s="56"/>
      <c r="C46" s="28"/>
    </row>
    <row r="47" spans="1:3" x14ac:dyDescent="0.35">
      <c r="A47" s="30"/>
      <c r="B47" s="56"/>
      <c r="C47" s="28"/>
    </row>
    <row r="48" spans="1:3" x14ac:dyDescent="0.35">
      <c r="A48" s="30"/>
      <c r="B48" s="56"/>
      <c r="C48" s="28"/>
    </row>
    <row r="49" spans="1:3" x14ac:dyDescent="0.35">
      <c r="A49" s="30"/>
      <c r="B49" s="56"/>
      <c r="C49" s="28"/>
    </row>
    <row r="50" spans="1:3" x14ac:dyDescent="0.35">
      <c r="A50" s="30"/>
      <c r="B50" s="56"/>
      <c r="C50" s="28"/>
    </row>
    <row r="51" spans="1:3" x14ac:dyDescent="0.35">
      <c r="A51" s="30"/>
      <c r="B51" s="56"/>
      <c r="C51" s="28"/>
    </row>
    <row r="52" spans="1:3" x14ac:dyDescent="0.35">
      <c r="A52" s="30"/>
      <c r="B52" s="56"/>
      <c r="C52" s="28"/>
    </row>
    <row r="53" spans="1:3" x14ac:dyDescent="0.35">
      <c r="A53" s="30"/>
      <c r="B53" s="56"/>
      <c r="C53" s="28"/>
    </row>
    <row r="54" spans="1:3" x14ac:dyDescent="0.35">
      <c r="A54" s="30"/>
      <c r="B54" s="56"/>
      <c r="C54" s="28"/>
    </row>
    <row r="55" spans="1:3" x14ac:dyDescent="0.35">
      <c r="A55" s="30"/>
      <c r="B55" s="56"/>
      <c r="C55" s="28"/>
    </row>
    <row r="56" spans="1:3" x14ac:dyDescent="0.35">
      <c r="A56" s="30"/>
      <c r="B56" s="56"/>
      <c r="C56" s="28"/>
    </row>
    <row r="57" spans="1:3" x14ac:dyDescent="0.35">
      <c r="A57" s="30"/>
      <c r="B57" s="56"/>
      <c r="C57" s="28"/>
    </row>
    <row r="58" spans="1:3" x14ac:dyDescent="0.35">
      <c r="A58" s="30"/>
      <c r="B58" s="56"/>
      <c r="C58" s="28"/>
    </row>
    <row r="59" spans="1:3" x14ac:dyDescent="0.35">
      <c r="A59" s="30"/>
      <c r="B59" s="56"/>
      <c r="C59" s="28"/>
    </row>
    <row r="60" spans="1:3" x14ac:dyDescent="0.35">
      <c r="A60" s="30"/>
      <c r="B60" s="56"/>
      <c r="C60" s="28"/>
    </row>
    <row r="61" spans="1:3" x14ac:dyDescent="0.35">
      <c r="A61" s="30"/>
      <c r="B61" s="56"/>
      <c r="C61" s="28"/>
    </row>
    <row r="62" spans="1:3" x14ac:dyDescent="0.35">
      <c r="A62" s="30"/>
      <c r="B62" s="56"/>
      <c r="C62" s="28"/>
    </row>
    <row r="63" spans="1:3" x14ac:dyDescent="0.35">
      <c r="A63" s="30"/>
      <c r="B63" s="56"/>
      <c r="C63" s="28"/>
    </row>
    <row r="64" spans="1:3" x14ac:dyDescent="0.35">
      <c r="A64" s="30"/>
      <c r="B64" s="56"/>
      <c r="C64" s="28"/>
    </row>
    <row r="65" spans="1:8" x14ac:dyDescent="0.35">
      <c r="A65" s="30"/>
      <c r="B65" s="56"/>
      <c r="C65" s="28"/>
    </row>
    <row r="66" spans="1:8" x14ac:dyDescent="0.35">
      <c r="A66" s="30"/>
      <c r="B66" s="56"/>
      <c r="C66" s="28"/>
    </row>
    <row r="67" spans="1:8" x14ac:dyDescent="0.35">
      <c r="A67" s="30"/>
      <c r="B67" s="56"/>
      <c r="C67" s="28"/>
    </row>
    <row r="68" spans="1:8" x14ac:dyDescent="0.35">
      <c r="A68" s="30"/>
      <c r="B68" s="56"/>
      <c r="C68" s="28"/>
    </row>
    <row r="69" spans="1:8" x14ac:dyDescent="0.35">
      <c r="A69" s="30"/>
      <c r="B69" s="56"/>
      <c r="C69" s="28"/>
    </row>
    <row r="70" spans="1:8" x14ac:dyDescent="0.35">
      <c r="A70" s="30"/>
      <c r="B70" s="56"/>
      <c r="C70" s="28"/>
    </row>
    <row r="71" spans="1:8" x14ac:dyDescent="0.35">
      <c r="A71" s="30"/>
      <c r="B71" s="56"/>
      <c r="C71" s="28"/>
    </row>
    <row r="72" spans="1:8" x14ac:dyDescent="0.35">
      <c r="A72" s="30"/>
      <c r="B72" s="56"/>
      <c r="C72" s="28"/>
    </row>
    <row r="73" spans="1:8" x14ac:dyDescent="0.35">
      <c r="A73" s="30"/>
      <c r="B73" s="56"/>
      <c r="C73" s="28"/>
    </row>
    <row r="74" spans="1:8" x14ac:dyDescent="0.35">
      <c r="A74" s="30"/>
      <c r="B74" s="56"/>
      <c r="C74" s="28"/>
    </row>
    <row r="75" spans="1:8" x14ac:dyDescent="0.35">
      <c r="A75" s="30"/>
      <c r="B75" s="56"/>
      <c r="C75" s="28"/>
    </row>
    <row r="76" spans="1:8" x14ac:dyDescent="0.35">
      <c r="B76" s="32">
        <f>SUM(B3:B75)</f>
        <v>0</v>
      </c>
      <c r="C76" s="32">
        <f>SUM(C3:C75)</f>
        <v>0</v>
      </c>
      <c r="F76" s="35"/>
      <c r="G76" s="36"/>
      <c r="H76" s="36"/>
    </row>
    <row r="77" spans="1:8" x14ac:dyDescent="0.35">
      <c r="A77" s="33"/>
      <c r="B77" s="54"/>
      <c r="C77" s="34"/>
      <c r="F77" s="35"/>
      <c r="G77" s="36"/>
      <c r="H77" s="36"/>
    </row>
    <row r="78" spans="1:8" x14ac:dyDescent="0.35">
      <c r="A78" s="51" t="s">
        <v>194</v>
      </c>
      <c r="B78" s="54"/>
      <c r="F78" s="35"/>
      <c r="G78" s="36"/>
      <c r="H78" s="36"/>
    </row>
    <row r="79" spans="1:8" x14ac:dyDescent="0.35">
      <c r="A79" s="45" t="s">
        <v>112</v>
      </c>
      <c r="B79" s="52" t="s">
        <v>113</v>
      </c>
      <c r="C79" s="45" t="s">
        <v>114</v>
      </c>
      <c r="F79" s="35"/>
      <c r="G79" s="36"/>
      <c r="H79" s="36"/>
    </row>
    <row r="80" spans="1:8" x14ac:dyDescent="0.35">
      <c r="A80" s="30" t="s">
        <v>115</v>
      </c>
      <c r="B80" s="56">
        <v>50</v>
      </c>
      <c r="C80" s="28">
        <f>ROUND(($E$2*$F$2*$G$2*Средн!$D$22*B80)/100,2)</f>
        <v>0</v>
      </c>
      <c r="D80" s="29" t="s">
        <v>205</v>
      </c>
      <c r="F80" s="35"/>
      <c r="G80" s="37"/>
      <c r="H80" s="37"/>
    </row>
    <row r="81" spans="1:4" x14ac:dyDescent="0.35">
      <c r="A81" s="30" t="s">
        <v>116</v>
      </c>
      <c r="B81" s="56">
        <v>14</v>
      </c>
      <c r="C81" s="28">
        <f>ROUND(($E$2*$F$2*$G$2*Средн!$D$22*B81)/100,2)</f>
        <v>0</v>
      </c>
    </row>
    <row r="82" spans="1:4" x14ac:dyDescent="0.35">
      <c r="A82" s="30" t="s">
        <v>117</v>
      </c>
      <c r="B82" s="56">
        <v>1.9</v>
      </c>
      <c r="C82" s="28">
        <f>ROUND(($E$2*$F$2*$G$2*Средн!$D$22*B82)/100,2)</f>
        <v>0</v>
      </c>
    </row>
    <row r="83" spans="1:4" x14ac:dyDescent="0.35">
      <c r="A83" s="30" t="s">
        <v>118</v>
      </c>
      <c r="B83" s="56">
        <v>0.8</v>
      </c>
      <c r="C83" s="28">
        <f>ROUND(($E$2*$F$2*$G$2*Средн!$D$22*B83)/100,2)</f>
        <v>0</v>
      </c>
    </row>
    <row r="84" spans="1:4" x14ac:dyDescent="0.35">
      <c r="A84" s="30" t="s">
        <v>119</v>
      </c>
      <c r="B84" s="56">
        <v>1.9</v>
      </c>
      <c r="C84" s="28">
        <f>ROUND(($E$2*$F$2*$G$2*Средн!$D$22*B84)/100,2)</f>
        <v>0</v>
      </c>
    </row>
    <row r="85" spans="1:4" x14ac:dyDescent="0.35">
      <c r="A85" s="30" t="s">
        <v>120</v>
      </c>
      <c r="B85" s="56">
        <v>0.8</v>
      </c>
      <c r="C85" s="28">
        <f>ROUND(($E$2*$F$2*$G$2*Средн!$D$22*B85)/100,2)</f>
        <v>0</v>
      </c>
    </row>
    <row r="86" spans="1:4" x14ac:dyDescent="0.35">
      <c r="A86" s="30" t="s">
        <v>121</v>
      </c>
      <c r="B86" s="56">
        <v>0.8</v>
      </c>
      <c r="C86" s="28">
        <f>ROUND(($E$2*$F$2*$G$2*Средн!$D$22*B86)/100,2)</f>
        <v>0</v>
      </c>
    </row>
    <row r="87" spans="1:4" x14ac:dyDescent="0.35">
      <c r="A87" s="30" t="s">
        <v>122</v>
      </c>
      <c r="B87" s="56">
        <v>1.4</v>
      </c>
      <c r="C87" s="28">
        <f>ROUND(($E$2*$F$2*$G$2*Средн!$D$22*B87)/100,2)</f>
        <v>0</v>
      </c>
    </row>
    <row r="88" spans="1:4" x14ac:dyDescent="0.35">
      <c r="A88" s="30" t="s">
        <v>123</v>
      </c>
      <c r="B88" s="56">
        <v>1.7</v>
      </c>
      <c r="C88" s="28">
        <f>ROUND(($E$2*$F$2*$G$2*Средн!$D$22*B88)/100,2)</f>
        <v>0</v>
      </c>
    </row>
    <row r="89" spans="1:4" x14ac:dyDescent="0.35">
      <c r="A89" s="30" t="s">
        <v>124</v>
      </c>
      <c r="B89" s="56">
        <v>1.4</v>
      </c>
      <c r="C89" s="28">
        <f>ROUND(($E$2*$F$2*$G$2*Средн!$D$22*B89)/100,2)</f>
        <v>0</v>
      </c>
    </row>
    <row r="90" spans="1:4" x14ac:dyDescent="0.35">
      <c r="A90" s="30" t="s">
        <v>125</v>
      </c>
      <c r="B90" s="56">
        <v>0.3</v>
      </c>
      <c r="C90" s="28">
        <f>ROUND(($E$2*$F$2*$G$2*Средн!$D$22*B90)/100,2)</f>
        <v>0</v>
      </c>
    </row>
    <row r="91" spans="1:4" x14ac:dyDescent="0.35">
      <c r="A91" s="30" t="s">
        <v>126</v>
      </c>
      <c r="B91" s="56">
        <v>12</v>
      </c>
      <c r="C91" s="28">
        <f>ROUND(($E$2*$F$2*$G$2*Средн!$D$22*B91)/100,2)</f>
        <v>0</v>
      </c>
      <c r="D91" s="29" t="s">
        <v>204</v>
      </c>
    </row>
    <row r="92" spans="1:4" x14ac:dyDescent="0.35">
      <c r="A92" s="30" t="s">
        <v>127</v>
      </c>
      <c r="B92" s="56">
        <v>1.6</v>
      </c>
      <c r="C92" s="28">
        <f>ROUND(($E$2*$F$2*$G$2*Средн!$D$22*B92)/100,2)</f>
        <v>0</v>
      </c>
    </row>
    <row r="93" spans="1:4" x14ac:dyDescent="0.35">
      <c r="A93" s="30" t="s">
        <v>128</v>
      </c>
      <c r="B93" s="56">
        <v>2.1</v>
      </c>
      <c r="C93" s="28">
        <f>ROUND(($E$2*$F$2*$G$2*Средн!$D$22*B93)/100,2)</f>
        <v>0</v>
      </c>
      <c r="D93" s="29" t="s">
        <v>203</v>
      </c>
    </row>
    <row r="94" spans="1:4" x14ac:dyDescent="0.35">
      <c r="A94" s="30" t="s">
        <v>129</v>
      </c>
      <c r="B94" s="56">
        <v>1.9</v>
      </c>
      <c r="C94" s="28">
        <f>ROUND(($E$2*$F$2*$G$2*Средн!$D$22*B94)/100,2)</f>
        <v>0</v>
      </c>
    </row>
    <row r="95" spans="1:4" x14ac:dyDescent="0.35">
      <c r="A95" s="30" t="s">
        <v>130</v>
      </c>
      <c r="B95" s="56">
        <v>0.8</v>
      </c>
      <c r="C95" s="28">
        <f>ROUND(($E$2*$F$2*$G$2*Средн!$D$22*B95)/100,2)</f>
        <v>0</v>
      </c>
    </row>
    <row r="96" spans="1:4" x14ac:dyDescent="0.35">
      <c r="A96" s="30" t="s">
        <v>131</v>
      </c>
      <c r="B96" s="56">
        <v>0.8</v>
      </c>
      <c r="C96" s="28">
        <f>ROUND(($E$2*$F$2*$G$2*Средн!$D$22*B96)/100,2)</f>
        <v>0</v>
      </c>
    </row>
    <row r="97" spans="1:4" x14ac:dyDescent="0.35">
      <c r="A97" s="30" t="s">
        <v>132</v>
      </c>
      <c r="B97" s="56">
        <v>1.1000000000000001</v>
      </c>
      <c r="C97" s="28">
        <f>ROUND(($E$2*$F$2*$G$2*Средн!$D$22*B97)/100,2)</f>
        <v>0</v>
      </c>
    </row>
    <row r="98" spans="1:4" x14ac:dyDescent="0.35">
      <c r="A98" s="30" t="s">
        <v>133</v>
      </c>
      <c r="B98" s="56">
        <v>1.6</v>
      </c>
      <c r="C98" s="28">
        <f>ROUND(($E$2*$F$2*$G$2*Средн!$D$22*B98)/100,2)</f>
        <v>0</v>
      </c>
    </row>
    <row r="99" spans="1:4" x14ac:dyDescent="0.35">
      <c r="A99" s="30" t="s">
        <v>134</v>
      </c>
      <c r="B99" s="56">
        <v>24</v>
      </c>
      <c r="C99" s="28">
        <f>ROUND(($E$2*$F$2*$G$2*Средн!$D$22*B99)/100,2)</f>
        <v>0</v>
      </c>
      <c r="D99" s="29" t="s">
        <v>202</v>
      </c>
    </row>
    <row r="100" spans="1:4" x14ac:dyDescent="0.35">
      <c r="A100" s="30" t="s">
        <v>135</v>
      </c>
      <c r="B100" s="56">
        <v>1.4</v>
      </c>
      <c r="C100" s="28">
        <f>ROUND(($E$2*$F$2*$G$2*Средн!$D$22*B100)/100,2)</f>
        <v>0</v>
      </c>
    </row>
    <row r="101" spans="1:4" x14ac:dyDescent="0.35">
      <c r="A101" s="30" t="s">
        <v>136</v>
      </c>
      <c r="B101" s="56">
        <v>1.4</v>
      </c>
      <c r="C101" s="28">
        <f>ROUND(($E$2*$F$2*$G$2*Средн!$D$22*B101)/100,2)</f>
        <v>0</v>
      </c>
      <c r="D101" s="29" t="s">
        <v>201</v>
      </c>
    </row>
    <row r="102" spans="1:4" x14ac:dyDescent="0.35">
      <c r="A102" s="30" t="s">
        <v>137</v>
      </c>
      <c r="B102" s="56">
        <v>2.5</v>
      </c>
      <c r="C102" s="28">
        <f>ROUND(($E$2*$F$2*$G$2*Средн!$D$22*B102)/100,2)</f>
        <v>0</v>
      </c>
      <c r="D102" s="29" t="s">
        <v>206</v>
      </c>
    </row>
    <row r="103" spans="1:4" x14ac:dyDescent="0.35">
      <c r="A103" s="30" t="s">
        <v>138</v>
      </c>
      <c r="B103" s="56">
        <v>1.9</v>
      </c>
      <c r="C103" s="28">
        <f>ROUND(($E$2*$F$2*$G$2*Средн!$D$22*B103)/100,2)</f>
        <v>0</v>
      </c>
    </row>
    <row r="104" spans="1:4" x14ac:dyDescent="0.35">
      <c r="A104" s="30" t="s">
        <v>139</v>
      </c>
      <c r="B104" s="56">
        <v>0.5</v>
      </c>
      <c r="C104" s="28">
        <f>ROUND(($E$2*$F$2*$G$2*Средн!$D$22*B104)/100,2)</f>
        <v>0</v>
      </c>
    </row>
    <row r="105" spans="1:4" x14ac:dyDescent="0.35">
      <c r="A105" s="30" t="s">
        <v>140</v>
      </c>
      <c r="B105" s="56">
        <v>1.1000000000000001</v>
      </c>
      <c r="C105" s="28">
        <f>ROUND(($E$2*$F$2*$G$2*Средн!$D$22*B105)/100,2)</f>
        <v>0</v>
      </c>
    </row>
    <row r="106" spans="1:4" x14ac:dyDescent="0.35">
      <c r="A106" s="30" t="s">
        <v>141</v>
      </c>
      <c r="B106" s="56">
        <v>3.5</v>
      </c>
      <c r="C106" s="28">
        <f>ROUND(($E$2*$F$2*$G$2*Средн!$D$22*B106)/100,2)</f>
        <v>0</v>
      </c>
    </row>
    <row r="107" spans="1:4" x14ac:dyDescent="0.35">
      <c r="A107" s="30" t="s">
        <v>142</v>
      </c>
      <c r="B107" s="56">
        <v>0.8</v>
      </c>
      <c r="C107" s="28">
        <f>ROUND(($E$2*$F$2*$G$2*Средн!$D$22*B107)/100,2)</f>
        <v>0</v>
      </c>
    </row>
    <row r="108" spans="1:4" x14ac:dyDescent="0.35">
      <c r="A108" s="30" t="s">
        <v>143</v>
      </c>
      <c r="B108" s="56">
        <v>2.5</v>
      </c>
      <c r="C108" s="28">
        <f>ROUND(($E$2*$F$2*$G$2*Средн!$D$22*B108)/100,2)</f>
        <v>0</v>
      </c>
    </row>
    <row r="109" spans="1:4" x14ac:dyDescent="0.35">
      <c r="A109" s="30" t="s">
        <v>144</v>
      </c>
      <c r="B109" s="56">
        <v>0.3</v>
      </c>
      <c r="C109" s="28">
        <f>ROUND(($E$2*$F$2*$G$2*Средн!$D$22*B109)/100,2)</f>
        <v>0</v>
      </c>
    </row>
    <row r="110" spans="1:4" x14ac:dyDescent="0.35">
      <c r="A110" s="30" t="s">
        <v>145</v>
      </c>
      <c r="B110" s="56">
        <v>0.6</v>
      </c>
      <c r="C110" s="28">
        <f>ROUND(($E$2*$F$2*$G$2*Средн!$D$22*B110)/100,2)</f>
        <v>0</v>
      </c>
    </row>
    <row r="111" spans="1:4" x14ac:dyDescent="0.35">
      <c r="A111" s="30" t="s">
        <v>146</v>
      </c>
      <c r="B111" s="56">
        <v>11</v>
      </c>
      <c r="C111" s="28">
        <f>ROUND(($E$2*$F$2*$G$2*Средн!$D$22*B111)/100,2)</f>
        <v>0</v>
      </c>
      <c r="D111" s="29" t="s">
        <v>200</v>
      </c>
    </row>
    <row r="112" spans="1:4" x14ac:dyDescent="0.35">
      <c r="A112" s="30" t="s">
        <v>147</v>
      </c>
      <c r="B112" s="56">
        <v>4.9000000000000004</v>
      </c>
      <c r="C112" s="28">
        <f>ROUND(($E$2*$F$2*$G$2*Средн!$D$22*B112)/100,2)</f>
        <v>0</v>
      </c>
    </row>
    <row r="113" spans="1:4" x14ac:dyDescent="0.35">
      <c r="A113" s="30" t="s">
        <v>148</v>
      </c>
      <c r="B113" s="56">
        <v>0.5</v>
      </c>
      <c r="C113" s="28">
        <f>ROUND(($E$2*$F$2*$G$2*Средн!$D$22*B113)/100,2)</f>
        <v>0</v>
      </c>
    </row>
    <row r="114" spans="1:4" x14ac:dyDescent="0.35">
      <c r="A114" s="30" t="s">
        <v>149</v>
      </c>
      <c r="B114" s="56">
        <v>0.5</v>
      </c>
      <c r="C114" s="28">
        <f>ROUND(($E$2*$F$2*$G$2*Средн!$D$22*B114)/100,2)</f>
        <v>0</v>
      </c>
    </row>
    <row r="115" spans="1:4" x14ac:dyDescent="0.35">
      <c r="A115" s="30" t="s">
        <v>150</v>
      </c>
      <c r="B115" s="56">
        <v>2.2000000000000002</v>
      </c>
      <c r="C115" s="28">
        <f>ROUND(($E$2*$F$2*$G$2*Средн!$D$22*B115)/100,2)</f>
        <v>0</v>
      </c>
    </row>
    <row r="116" spans="1:4" x14ac:dyDescent="0.35">
      <c r="A116" s="30" t="s">
        <v>151</v>
      </c>
      <c r="B116" s="56">
        <v>1.4</v>
      </c>
      <c r="C116" s="28">
        <f>ROUND(($E$2*$F$2*$G$2*Средн!$D$22*B116)/100,2)</f>
        <v>0</v>
      </c>
    </row>
    <row r="117" spans="1:4" x14ac:dyDescent="0.35">
      <c r="A117" s="30" t="s">
        <v>152</v>
      </c>
      <c r="B117" s="56">
        <v>0.8</v>
      </c>
      <c r="C117" s="28">
        <f>ROUND(($E$2*$F$2*$G$2*Средн!$D$22*B117)/100,2)</f>
        <v>0</v>
      </c>
    </row>
    <row r="118" spans="1:4" x14ac:dyDescent="0.35">
      <c r="A118" s="30" t="s">
        <v>153</v>
      </c>
      <c r="B118" s="56">
        <v>0.5</v>
      </c>
      <c r="C118" s="28">
        <f>ROUND(($E$2*$F$2*$G$2*Средн!$D$22*B118)/100,2)</f>
        <v>0</v>
      </c>
    </row>
    <row r="119" spans="1:4" x14ac:dyDescent="0.35">
      <c r="A119" s="30" t="s">
        <v>154</v>
      </c>
      <c r="B119" s="56">
        <v>0.5</v>
      </c>
      <c r="C119" s="28">
        <f>ROUND(($E$2*$F$2*$G$2*Средн!$D$22*B119)/100,2)</f>
        <v>0</v>
      </c>
    </row>
    <row r="120" spans="1:4" x14ac:dyDescent="0.35">
      <c r="A120" s="30" t="s">
        <v>155</v>
      </c>
      <c r="B120" s="56">
        <v>0.8</v>
      </c>
      <c r="C120" s="28">
        <f>ROUND(($E$2*$F$2*$G$2*Средн!$D$22*B120)/100,2)</f>
        <v>0</v>
      </c>
    </row>
    <row r="121" spans="1:4" x14ac:dyDescent="0.35">
      <c r="A121" s="30" t="s">
        <v>156</v>
      </c>
      <c r="B121" s="56">
        <v>0.5</v>
      </c>
      <c r="C121" s="28">
        <f>ROUND(($E$2*$F$2*$G$2*Средн!$D$22*B121)/100,2)</f>
        <v>0</v>
      </c>
    </row>
    <row r="122" spans="1:4" x14ac:dyDescent="0.35">
      <c r="A122" s="30" t="s">
        <v>157</v>
      </c>
      <c r="B122" s="56">
        <v>0.5</v>
      </c>
      <c r="C122" s="28">
        <f>ROUND(($E$2*$F$2*$G$2*Средн!$D$22*B122)/100,2)</f>
        <v>0</v>
      </c>
    </row>
    <row r="123" spans="1:4" x14ac:dyDescent="0.35">
      <c r="A123" s="30" t="s">
        <v>158</v>
      </c>
      <c r="B123" s="56">
        <v>0.8</v>
      </c>
      <c r="C123" s="28">
        <f>ROUND(($E$2*$F$2*$G$2*Средн!$D$22*B123)/100,2)</f>
        <v>0</v>
      </c>
    </row>
    <row r="124" spans="1:4" x14ac:dyDescent="0.35">
      <c r="A124" s="30" t="s">
        <v>159</v>
      </c>
      <c r="B124" s="56">
        <v>1.4</v>
      </c>
      <c r="C124" s="28">
        <f>ROUND(($E$2*$F$2*$G$2*Средн!$D$22*B124)/100,2)</f>
        <v>0</v>
      </c>
      <c r="D124" s="29" t="s">
        <v>195</v>
      </c>
    </row>
    <row r="125" spans="1:4" x14ac:dyDescent="0.35">
      <c r="A125" s="30" t="s">
        <v>160</v>
      </c>
      <c r="B125" s="56">
        <v>0.6</v>
      </c>
      <c r="C125" s="28">
        <f>ROUND(($E$2*$F$2*$G$2*Средн!$D$22*B125)/100,2)</f>
        <v>0</v>
      </c>
      <c r="D125" s="29" t="s">
        <v>195</v>
      </c>
    </row>
    <row r="126" spans="1:4" x14ac:dyDescent="0.35">
      <c r="A126" s="30" t="s">
        <v>161</v>
      </c>
      <c r="B126" s="56">
        <v>2.5</v>
      </c>
      <c r="C126" s="28">
        <f>ROUND(($E$2*$F$2*$G$2*Средн!$D$22*B126)/100,2)</f>
        <v>0</v>
      </c>
    </row>
    <row r="127" spans="1:4" x14ac:dyDescent="0.35">
      <c r="A127" s="30" t="s">
        <v>162</v>
      </c>
      <c r="B127" s="56">
        <v>0.7</v>
      </c>
      <c r="C127" s="28">
        <f>ROUND(($E$2*$F$2*$G$2*Средн!$D$22*B127)/100,2)</f>
        <v>0</v>
      </c>
    </row>
    <row r="128" spans="1:4" x14ac:dyDescent="0.35">
      <c r="A128" s="30" t="s">
        <v>163</v>
      </c>
      <c r="B128" s="56">
        <v>1.8</v>
      </c>
      <c r="C128" s="28">
        <f>ROUND(($E$2*$F$2*$G$2*Средн!$D$22*B128)/100,2)</f>
        <v>0</v>
      </c>
    </row>
    <row r="129" spans="1:4" x14ac:dyDescent="0.35">
      <c r="A129" s="30" t="s">
        <v>164</v>
      </c>
      <c r="B129" s="56">
        <v>4.5</v>
      </c>
      <c r="C129" s="28">
        <f>ROUND(($E$2*$F$2*$G$2*Средн!$D$22*B129)/100,2)</f>
        <v>0</v>
      </c>
    </row>
    <row r="130" spans="1:4" x14ac:dyDescent="0.35">
      <c r="A130" s="30" t="s">
        <v>165</v>
      </c>
      <c r="B130" s="56">
        <v>4.5</v>
      </c>
      <c r="C130" s="28">
        <f>ROUND(($E$2*$F$2*$G$2*Средн!$D$22*B130)/100,2)</f>
        <v>0</v>
      </c>
    </row>
    <row r="131" spans="1:4" x14ac:dyDescent="0.35">
      <c r="A131" s="30" t="s">
        <v>166</v>
      </c>
      <c r="B131" s="56">
        <v>10</v>
      </c>
      <c r="C131" s="28">
        <f>ROUND(($E$2*$F$2*$G$2*Средн!$D$22*B131)/100,2)</f>
        <v>0</v>
      </c>
    </row>
    <row r="132" spans="1:4" x14ac:dyDescent="0.35">
      <c r="A132" s="30" t="s">
        <v>167</v>
      </c>
      <c r="B132" s="56">
        <v>5.5</v>
      </c>
      <c r="C132" s="28">
        <f>ROUND(($E$2*$F$2*$G$2*Средн!$D$22*B132)/100,2)</f>
        <v>0</v>
      </c>
      <c r="D132" s="29" t="s">
        <v>198</v>
      </c>
    </row>
    <row r="133" spans="1:4" x14ac:dyDescent="0.35">
      <c r="A133" s="30" t="s">
        <v>168</v>
      </c>
      <c r="B133" s="56">
        <v>4.5</v>
      </c>
      <c r="C133" s="28">
        <f>ROUND(($E$2*$F$2*$G$2*Средн!$D$22*B133)/100,2)</f>
        <v>0</v>
      </c>
      <c r="D133" s="29" t="s">
        <v>197</v>
      </c>
    </row>
    <row r="134" spans="1:4" x14ac:dyDescent="0.35">
      <c r="A134" s="30" t="s">
        <v>169</v>
      </c>
      <c r="B134" s="56">
        <v>10</v>
      </c>
      <c r="C134" s="28">
        <f>ROUND(($E$2*$F$2*$G$2*Средн!$D$22*B134)/100,2)</f>
        <v>0</v>
      </c>
      <c r="D134" s="29" t="s">
        <v>199</v>
      </c>
    </row>
    <row r="135" spans="1:4" x14ac:dyDescent="0.35">
      <c r="A135" s="30" t="s">
        <v>170</v>
      </c>
      <c r="B135" s="56">
        <v>3</v>
      </c>
      <c r="C135" s="28">
        <f>ROUND(($E$2*$F$2*$G$2*Средн!$D$22*B135)/100,2)</f>
        <v>0</v>
      </c>
    </row>
    <row r="136" spans="1:4" x14ac:dyDescent="0.35">
      <c r="A136" s="30" t="s">
        <v>171</v>
      </c>
      <c r="B136" s="56">
        <v>0.5</v>
      </c>
      <c r="C136" s="28">
        <f>ROUND(($E$2*$F$2*$G$2*Средн!$D$22*B136)/100,2)</f>
        <v>0</v>
      </c>
    </row>
    <row r="137" spans="1:4" x14ac:dyDescent="0.35">
      <c r="A137" s="30" t="s">
        <v>172</v>
      </c>
      <c r="B137" s="56">
        <v>0.8</v>
      </c>
      <c r="C137" s="28">
        <f>ROUND(($E$2*$F$2*$G$2*Средн!$D$22*B137)/100,2)</f>
        <v>0</v>
      </c>
    </row>
    <row r="138" spans="1:4" x14ac:dyDescent="0.35">
      <c r="A138" s="30" t="s">
        <v>73</v>
      </c>
      <c r="B138" s="56">
        <v>1.2</v>
      </c>
      <c r="C138" s="28">
        <f>ROUND(($E$2*$F$2*$G$2*Средн!$D$22*B138)/100,2)</f>
        <v>0</v>
      </c>
    </row>
    <row r="139" spans="1:4" x14ac:dyDescent="0.35">
      <c r="A139" s="30" t="s">
        <v>173</v>
      </c>
      <c r="B139" s="56">
        <v>0.5</v>
      </c>
      <c r="C139" s="28">
        <f>ROUND(($E$2*$F$2*$G$2*Средн!$D$22*B139)/100,2)</f>
        <v>0</v>
      </c>
    </row>
    <row r="140" spans="1:4" x14ac:dyDescent="0.35">
      <c r="A140" s="30" t="s">
        <v>174</v>
      </c>
      <c r="B140" s="56">
        <v>0.3</v>
      </c>
      <c r="C140" s="28">
        <f>ROUND(($E$2*$F$2*$G$2*Средн!$D$22*B140)/100,2)</f>
        <v>0</v>
      </c>
    </row>
    <row r="141" spans="1:4" x14ac:dyDescent="0.35">
      <c r="A141" s="30" t="s">
        <v>175</v>
      </c>
      <c r="B141" s="56">
        <v>3.5</v>
      </c>
      <c r="C141" s="28">
        <f>ROUND(($E$2*$F$2*$G$2*Средн!$D$22*B141)/100,2)</f>
        <v>0</v>
      </c>
    </row>
    <row r="142" spans="1:4" x14ac:dyDescent="0.35">
      <c r="A142" s="30" t="s">
        <v>176</v>
      </c>
      <c r="B142" s="56">
        <v>0.5</v>
      </c>
      <c r="C142" s="28">
        <f>ROUND(($E$2*$F$2*$G$2*Средн!$D$22*B142)/100,2)</f>
        <v>0</v>
      </c>
    </row>
    <row r="143" spans="1:4" x14ac:dyDescent="0.35">
      <c r="A143" s="30" t="s">
        <v>177</v>
      </c>
      <c r="B143" s="56">
        <v>0.5</v>
      </c>
      <c r="C143" s="28">
        <f>ROUND(($E$2*$F$2*$G$2*Средн!$D$22*B143)/100,2)</f>
        <v>0</v>
      </c>
    </row>
    <row r="144" spans="1:4" x14ac:dyDescent="0.35">
      <c r="A144" s="30" t="s">
        <v>178</v>
      </c>
      <c r="B144" s="56">
        <v>0.3</v>
      </c>
      <c r="C144" s="28">
        <f>ROUND(($E$2*$F$2*$G$2*Средн!$D$22*B144)/100,2)</f>
        <v>0</v>
      </c>
    </row>
    <row r="145" spans="1:4" x14ac:dyDescent="0.35">
      <c r="A145" s="30" t="s">
        <v>179</v>
      </c>
      <c r="B145" s="56">
        <v>0.7</v>
      </c>
      <c r="C145" s="28">
        <f>ROUND(($E$2*$F$2*$G$2*Средн!$D$22*B145)/100,2)</f>
        <v>0</v>
      </c>
    </row>
    <row r="146" spans="1:4" x14ac:dyDescent="0.35">
      <c r="A146" s="30" t="s">
        <v>180</v>
      </c>
      <c r="B146" s="56">
        <v>12.5</v>
      </c>
      <c r="C146" s="28">
        <f>ROUND(($E$2*$F$2*$G$2*Средн!$D$22*B146)/100,2)</f>
        <v>0</v>
      </c>
    </row>
    <row r="147" spans="1:4" x14ac:dyDescent="0.35">
      <c r="A147" s="30" t="s">
        <v>181</v>
      </c>
      <c r="B147" s="56">
        <v>0.5</v>
      </c>
      <c r="C147" s="28">
        <f>ROUND(($E$2*$F$2*$G$2*Средн!$D$22*B147)/100,2)</f>
        <v>0</v>
      </c>
    </row>
    <row r="148" spans="1:4" x14ac:dyDescent="0.35">
      <c r="A148" s="30" t="s">
        <v>182</v>
      </c>
      <c r="B148" s="56">
        <v>0.5</v>
      </c>
      <c r="C148" s="28">
        <f>ROUND(($E$2*$F$2*$G$2*Средн!$D$22*B148)/100,2)</f>
        <v>0</v>
      </c>
    </row>
    <row r="149" spans="1:4" x14ac:dyDescent="0.35">
      <c r="A149" s="30" t="s">
        <v>183</v>
      </c>
      <c r="B149" s="56">
        <v>1</v>
      </c>
      <c r="C149" s="28">
        <f>ROUND(($E$2*$F$2*$G$2*Средн!$D$22*B149)/100,2)</f>
        <v>0</v>
      </c>
    </row>
    <row r="150" spans="1:4" x14ac:dyDescent="0.35">
      <c r="A150" s="30" t="s">
        <v>184</v>
      </c>
      <c r="B150" s="56">
        <v>0.5</v>
      </c>
      <c r="C150" s="28">
        <f>ROUND(($E$2*$F$2*$G$2*Средн!$D$22*B150)/100,2)</f>
        <v>0</v>
      </c>
    </row>
    <row r="151" spans="1:4" x14ac:dyDescent="0.35">
      <c r="A151" s="30" t="s">
        <v>185</v>
      </c>
      <c r="B151" s="56">
        <v>0.8</v>
      </c>
      <c r="C151" s="28">
        <f>ROUND(($E$2*$F$2*$G$2*Средн!$D$22*B151)/100,2)</f>
        <v>0</v>
      </c>
    </row>
    <row r="152" spans="1:4" x14ac:dyDescent="0.35">
      <c r="A152" s="30" t="s">
        <v>186</v>
      </c>
      <c r="B152" s="56">
        <v>2.1</v>
      </c>
      <c r="C152" s="28">
        <f>ROUND(($E$2*$F$2*$G$2*Средн!$D$22*B152)/100,2)</f>
        <v>0</v>
      </c>
    </row>
    <row r="153" spans="1:4" x14ac:dyDescent="0.35">
      <c r="A153" s="30" t="s">
        <v>187</v>
      </c>
      <c r="B153" s="56">
        <v>0.5</v>
      </c>
      <c r="C153" s="28">
        <f>ROUND(($E$2*$F$2*$G$2*Средн!$D$22*B153)/100,2)</f>
        <v>0</v>
      </c>
    </row>
    <row r="154" spans="1:4" x14ac:dyDescent="0.35">
      <c r="A154" s="30" t="s">
        <v>188</v>
      </c>
      <c r="B154" s="56">
        <v>0.6</v>
      </c>
      <c r="C154" s="28">
        <f>ROUND(($E$2*$F$2*$G$2*Средн!$D$22*B154)/100,2)</f>
        <v>0</v>
      </c>
    </row>
    <row r="155" spans="1:4" x14ac:dyDescent="0.35">
      <c r="A155" s="30" t="s">
        <v>189</v>
      </c>
      <c r="B155" s="56">
        <v>1.1000000000000001</v>
      </c>
      <c r="C155" s="28">
        <f>ROUND(($E$2*$F$2*$G$2*Средн!$D$22*B155)/100,2)</f>
        <v>0</v>
      </c>
    </row>
    <row r="156" spans="1:4" x14ac:dyDescent="0.35">
      <c r="A156" s="30" t="s">
        <v>190</v>
      </c>
      <c r="B156" s="56">
        <v>0.9</v>
      </c>
      <c r="C156" s="28">
        <f>ROUND(($E$2*$F$2*$G$2*Средн!$D$22*B156)/100,2)</f>
        <v>0</v>
      </c>
    </row>
    <row r="157" spans="1:4" x14ac:dyDescent="0.35">
      <c r="A157" s="30" t="s">
        <v>191</v>
      </c>
      <c r="B157" s="56">
        <v>0.8</v>
      </c>
      <c r="C157" s="28">
        <f>ROUND(($E$2*$F$2*$G$2*Средн!$D$22*B157)/100,2)</f>
        <v>0</v>
      </c>
    </row>
    <row r="158" spans="1:4" x14ac:dyDescent="0.35">
      <c r="A158" s="30" t="s">
        <v>192</v>
      </c>
      <c r="B158" s="56">
        <v>0.3</v>
      </c>
      <c r="C158" s="28">
        <f>ROUND(($E$2*$F$2*$G$2*Средн!$D$22*B158)/100,2)</f>
        <v>0</v>
      </c>
    </row>
    <row r="159" spans="1:4" x14ac:dyDescent="0.35">
      <c r="A159" s="30" t="s">
        <v>193</v>
      </c>
      <c r="B159" s="56">
        <v>0.8</v>
      </c>
      <c r="C159" s="28">
        <f>ROUND(($E$2*$F$2*$G$2*Средн!$D$22*B159)/100,2)</f>
        <v>0</v>
      </c>
    </row>
    <row r="160" spans="1:4" x14ac:dyDescent="0.35">
      <c r="A160" s="30" t="s">
        <v>74</v>
      </c>
      <c r="B160" s="56">
        <v>3</v>
      </c>
      <c r="C160" s="28">
        <f>ROUND(($E$2*$F$2*$G$2*Средн!$D$22*B160)/100,2)</f>
        <v>0</v>
      </c>
      <c r="D160" s="29" t="s">
        <v>196</v>
      </c>
    </row>
    <row r="161" spans="1:9" x14ac:dyDescent="0.35">
      <c r="B161" s="32">
        <f>SUM(B80:B160)</f>
        <v>246.00000000000009</v>
      </c>
      <c r="C161" s="32">
        <f>SUM(C80:C160)</f>
        <v>0</v>
      </c>
    </row>
    <row r="162" spans="1:9" x14ac:dyDescent="0.35">
      <c r="A162" s="29" t="s">
        <v>247</v>
      </c>
      <c r="B162" s="54"/>
      <c r="C162" s="32"/>
    </row>
    <row r="163" spans="1:9" x14ac:dyDescent="0.35">
      <c r="A163" s="29" t="s">
        <v>248</v>
      </c>
      <c r="B163" s="54"/>
      <c r="C163" s="32"/>
    </row>
    <row r="164" spans="1:9" x14ac:dyDescent="0.35">
      <c r="A164" s="29" t="s">
        <v>249</v>
      </c>
      <c r="B164" s="54"/>
      <c r="C164" s="32"/>
    </row>
    <row r="165" spans="1:9" x14ac:dyDescent="0.35">
      <c r="A165" s="29" t="s">
        <v>250</v>
      </c>
      <c r="B165" s="54"/>
      <c r="C165" s="32"/>
    </row>
    <row r="167" spans="1:9" x14ac:dyDescent="0.35">
      <c r="A167" s="51" t="s">
        <v>255</v>
      </c>
      <c r="B167" s="54"/>
    </row>
    <row r="168" spans="1:9" x14ac:dyDescent="0.35">
      <c r="A168" s="45" t="s">
        <v>112</v>
      </c>
      <c r="B168" s="59" t="s">
        <v>241</v>
      </c>
      <c r="C168" s="58" t="s">
        <v>114</v>
      </c>
      <c r="D168" s="59" t="s">
        <v>241</v>
      </c>
      <c r="E168" s="60" t="s">
        <v>242</v>
      </c>
      <c r="F168" s="61" t="s">
        <v>243</v>
      </c>
      <c r="G168" s="61" t="s">
        <v>244</v>
      </c>
      <c r="H168" s="61" t="s">
        <v>245</v>
      </c>
      <c r="I168" s="61" t="s">
        <v>246</v>
      </c>
    </row>
    <row r="169" spans="1:9" x14ac:dyDescent="0.35">
      <c r="A169" s="30" t="s">
        <v>207</v>
      </c>
      <c r="B169" s="56">
        <v>24</v>
      </c>
      <c r="C169" s="28">
        <f>ROUND(($E$2*$F$2*$G$2*Средн!$D$22*B169)/100,2)</f>
        <v>0</v>
      </c>
      <c r="D169" s="57" t="s">
        <v>208</v>
      </c>
      <c r="E169" s="57" t="s">
        <v>209</v>
      </c>
      <c r="F169" s="57" t="s">
        <v>210</v>
      </c>
      <c r="G169" s="57" t="s">
        <v>211</v>
      </c>
      <c r="H169" s="57" t="s">
        <v>212</v>
      </c>
      <c r="I169" s="57" t="s">
        <v>213</v>
      </c>
    </row>
    <row r="170" spans="1:9" x14ac:dyDescent="0.35">
      <c r="A170" s="30" t="s">
        <v>214</v>
      </c>
      <c r="B170" s="56">
        <v>1</v>
      </c>
      <c r="C170" s="28">
        <f>ROUND(($E$2*$F$2*$G$2*Средн!$D$22*B170)/100,2)</f>
        <v>0</v>
      </c>
      <c r="D170" s="56">
        <v>1</v>
      </c>
      <c r="E170" s="56">
        <v>1</v>
      </c>
      <c r="F170" s="56">
        <v>0.9</v>
      </c>
      <c r="G170" s="56">
        <v>0.9</v>
      </c>
      <c r="H170" s="56">
        <v>0.8</v>
      </c>
      <c r="I170" s="57">
        <v>1</v>
      </c>
    </row>
    <row r="171" spans="1:9" x14ac:dyDescent="0.35">
      <c r="A171" s="30" t="s">
        <v>117</v>
      </c>
      <c r="B171" s="56">
        <v>1.3</v>
      </c>
      <c r="C171" s="28">
        <f>ROUND(($E$2*$F$2*$G$2*Средн!$D$22*B171)/100,2)</f>
        <v>0</v>
      </c>
      <c r="D171" s="57" t="s">
        <v>251</v>
      </c>
      <c r="E171" s="57" t="s">
        <v>252</v>
      </c>
      <c r="F171" s="57" t="s">
        <v>252</v>
      </c>
      <c r="G171" s="57" t="s">
        <v>253</v>
      </c>
      <c r="H171" s="57" t="s">
        <v>254</v>
      </c>
      <c r="I171" s="57" t="s">
        <v>252</v>
      </c>
    </row>
    <row r="172" spans="1:9" x14ac:dyDescent="0.35">
      <c r="A172" s="30" t="s">
        <v>120</v>
      </c>
      <c r="B172" s="56">
        <v>0.4</v>
      </c>
      <c r="C172" s="28">
        <f>ROUND(($E$2*$F$2*$G$2*Средн!$D$22*B172)/100,2)</f>
        <v>0</v>
      </c>
      <c r="D172" s="56">
        <v>0.4</v>
      </c>
      <c r="E172" s="56">
        <v>0.4</v>
      </c>
      <c r="F172" s="56">
        <v>0.4</v>
      </c>
      <c r="G172" s="56">
        <v>0.4</v>
      </c>
      <c r="H172" s="56">
        <v>0.4</v>
      </c>
      <c r="I172" s="57">
        <v>0.4</v>
      </c>
    </row>
    <row r="173" spans="1:9" x14ac:dyDescent="0.35">
      <c r="A173" s="30" t="s">
        <v>123</v>
      </c>
      <c r="B173" s="56">
        <v>0.6</v>
      </c>
      <c r="C173" s="28">
        <f>ROUND(($E$2*$F$2*$G$2*Средн!$D$22*B173)/100,2)</f>
        <v>0</v>
      </c>
      <c r="D173" s="56">
        <v>0.6</v>
      </c>
      <c r="E173" s="56">
        <v>0.5</v>
      </c>
      <c r="F173" s="56">
        <v>0.5</v>
      </c>
      <c r="G173" s="56">
        <v>0.5</v>
      </c>
      <c r="H173" s="56">
        <v>0.4</v>
      </c>
      <c r="I173" s="57">
        <v>0.5</v>
      </c>
    </row>
    <row r="174" spans="1:9" x14ac:dyDescent="0.35">
      <c r="A174" s="30" t="s">
        <v>215</v>
      </c>
      <c r="B174" s="56">
        <v>0.5</v>
      </c>
      <c r="C174" s="28">
        <f>ROUND(($E$2*$F$2*$G$2*Средн!$D$22*B174)/100,2)</f>
        <v>0</v>
      </c>
      <c r="D174" s="56">
        <v>0.5</v>
      </c>
      <c r="E174" s="56">
        <v>0.5</v>
      </c>
      <c r="F174" s="56">
        <v>0.5</v>
      </c>
      <c r="G174" s="56">
        <v>0.5</v>
      </c>
      <c r="H174" s="56">
        <v>0.4</v>
      </c>
      <c r="I174" s="57">
        <v>0.5</v>
      </c>
    </row>
    <row r="175" spans="1:9" x14ac:dyDescent="0.35">
      <c r="A175" s="30" t="s">
        <v>129</v>
      </c>
      <c r="B175" s="56">
        <v>0.3</v>
      </c>
      <c r="C175" s="28">
        <f>ROUND(($E$2*$F$2*$G$2*Средн!$D$22*B175)/100,2)</f>
        <v>0</v>
      </c>
      <c r="D175" s="56">
        <v>0.3</v>
      </c>
      <c r="E175" s="56">
        <v>0.3</v>
      </c>
      <c r="F175" s="56">
        <v>0.3</v>
      </c>
      <c r="G175" s="56">
        <v>0.3</v>
      </c>
      <c r="H175" s="56">
        <v>0.3</v>
      </c>
      <c r="I175" s="57">
        <v>0.3</v>
      </c>
    </row>
    <row r="176" spans="1:9" x14ac:dyDescent="0.35">
      <c r="A176" s="30" t="s">
        <v>216</v>
      </c>
      <c r="B176" s="56">
        <v>0.9</v>
      </c>
      <c r="C176" s="28">
        <f>ROUND(($E$2*$F$2*$G$2*Средн!$D$22*B176)/100,2)</f>
        <v>0</v>
      </c>
      <c r="D176" s="56">
        <v>0.9</v>
      </c>
      <c r="E176" s="56">
        <v>0.8</v>
      </c>
      <c r="F176" s="56">
        <v>0.8</v>
      </c>
      <c r="G176" s="56">
        <v>0.7</v>
      </c>
      <c r="H176" s="56">
        <v>0.6</v>
      </c>
      <c r="I176" s="57">
        <v>0.8</v>
      </c>
    </row>
    <row r="177" spans="1:9" x14ac:dyDescent="0.35">
      <c r="A177" s="30" t="s">
        <v>217</v>
      </c>
      <c r="B177" s="56">
        <v>2.8</v>
      </c>
      <c r="C177" s="28">
        <f>ROUND(($E$2*$F$2*$G$2*Средн!$D$22*B177)/100,2)</f>
        <v>0</v>
      </c>
      <c r="D177" s="56">
        <v>2.8</v>
      </c>
      <c r="E177" s="56">
        <v>2.6</v>
      </c>
      <c r="F177" s="56">
        <v>2.5</v>
      </c>
      <c r="G177" s="56">
        <v>2.2999999999999998</v>
      </c>
      <c r="H177" s="56">
        <v>2</v>
      </c>
      <c r="I177" s="57">
        <v>2.6</v>
      </c>
    </row>
    <row r="178" spans="1:9" x14ac:dyDescent="0.35">
      <c r="A178" s="30" t="s">
        <v>218</v>
      </c>
      <c r="B178" s="56">
        <v>0.6</v>
      </c>
      <c r="C178" s="28">
        <f>ROUND(($E$2*$F$2*$G$2*Средн!$D$22*B178)/100,2)</f>
        <v>0</v>
      </c>
      <c r="D178" s="56">
        <v>0.6</v>
      </c>
      <c r="E178" s="56">
        <v>0.6</v>
      </c>
      <c r="F178" s="56">
        <v>0.6</v>
      </c>
      <c r="G178" s="56">
        <v>0.6</v>
      </c>
      <c r="H178" s="56">
        <v>0.5</v>
      </c>
      <c r="I178" s="57">
        <v>0.6</v>
      </c>
    </row>
    <row r="179" spans="1:9" x14ac:dyDescent="0.35">
      <c r="A179" s="30" t="s">
        <v>138</v>
      </c>
      <c r="B179" s="56">
        <v>2.1</v>
      </c>
      <c r="C179" s="28">
        <f>ROUND(($E$2*$F$2*$G$2*Средн!$D$22*B179)/100,2)</f>
        <v>0</v>
      </c>
      <c r="D179" s="56">
        <v>2.1</v>
      </c>
      <c r="E179" s="56">
        <v>2</v>
      </c>
      <c r="F179" s="56">
        <v>1.9</v>
      </c>
      <c r="G179" s="56">
        <v>1.8</v>
      </c>
      <c r="H179" s="56">
        <v>1.6</v>
      </c>
      <c r="I179" s="57">
        <v>2.1</v>
      </c>
    </row>
    <row r="180" spans="1:9" x14ac:dyDescent="0.35">
      <c r="A180" s="30" t="s">
        <v>219</v>
      </c>
      <c r="B180" s="56">
        <v>0.5</v>
      </c>
      <c r="C180" s="28">
        <f>ROUND(($E$2*$F$2*$G$2*Средн!$D$22*B180)/100,2)</f>
        <v>0</v>
      </c>
      <c r="D180" s="56">
        <v>0.5</v>
      </c>
      <c r="E180" s="56">
        <v>0.5</v>
      </c>
      <c r="F180" s="56">
        <v>0.5</v>
      </c>
      <c r="G180" s="56">
        <v>0.5</v>
      </c>
      <c r="H180" s="56">
        <v>0.5</v>
      </c>
      <c r="I180" s="57">
        <v>0.5</v>
      </c>
    </row>
    <row r="181" spans="1:9" x14ac:dyDescent="0.35">
      <c r="A181" s="30" t="s">
        <v>140</v>
      </c>
      <c r="B181" s="56">
        <v>0.8</v>
      </c>
      <c r="C181" s="28">
        <f>ROUND(($E$2*$F$2*$G$2*Средн!$D$22*B181)/100,2)</f>
        <v>0</v>
      </c>
      <c r="D181" s="56">
        <v>0.8</v>
      </c>
      <c r="E181" s="56">
        <v>0.8</v>
      </c>
      <c r="F181" s="56">
        <v>0.8</v>
      </c>
      <c r="G181" s="56">
        <v>0.8</v>
      </c>
      <c r="H181" s="56">
        <v>0.7</v>
      </c>
      <c r="I181" s="57">
        <v>0.8</v>
      </c>
    </row>
    <row r="182" spans="1:9" x14ac:dyDescent="0.35">
      <c r="A182" s="30" t="s">
        <v>220</v>
      </c>
      <c r="B182" s="56">
        <v>1.3</v>
      </c>
      <c r="C182" s="28">
        <f>ROUND(($E$2*$F$2*$G$2*Средн!$D$22*B182)/100,2)</f>
        <v>0</v>
      </c>
      <c r="D182" s="56">
        <v>1.3</v>
      </c>
      <c r="E182" s="56">
        <v>1.2</v>
      </c>
      <c r="F182" s="56">
        <v>1.2</v>
      </c>
      <c r="G182" s="56">
        <v>1.1000000000000001</v>
      </c>
      <c r="H182" s="56">
        <v>1</v>
      </c>
      <c r="I182" s="57">
        <v>1.2</v>
      </c>
    </row>
    <row r="183" spans="1:9" x14ac:dyDescent="0.35">
      <c r="A183" s="30" t="s">
        <v>221</v>
      </c>
      <c r="B183" s="56">
        <v>0.6</v>
      </c>
      <c r="C183" s="28">
        <f>ROUND(($E$2*$F$2*$G$2*Средн!$D$22*B183)/100,2)</f>
        <v>0</v>
      </c>
      <c r="D183" s="56">
        <v>0.6</v>
      </c>
      <c r="E183" s="56">
        <v>0.6</v>
      </c>
      <c r="F183" s="56">
        <v>0.6</v>
      </c>
      <c r="G183" s="56">
        <v>0.6</v>
      </c>
      <c r="H183" s="56">
        <v>0.6</v>
      </c>
      <c r="I183" s="57">
        <v>0.6</v>
      </c>
    </row>
    <row r="184" spans="1:9" x14ac:dyDescent="0.35">
      <c r="A184" s="30" t="s">
        <v>222</v>
      </c>
      <c r="B184" s="56">
        <v>0.7</v>
      </c>
      <c r="C184" s="28">
        <f>ROUND(($E$2*$F$2*$G$2*Средн!$D$22*B184)/100,2)</f>
        <v>0</v>
      </c>
      <c r="D184" s="56">
        <v>0.7</v>
      </c>
      <c r="E184" s="56">
        <v>0.7</v>
      </c>
      <c r="F184" s="56">
        <v>0.6</v>
      </c>
      <c r="G184" s="56">
        <v>0.6</v>
      </c>
      <c r="H184" s="56">
        <v>0.5</v>
      </c>
      <c r="I184" s="57">
        <v>0.7</v>
      </c>
    </row>
    <row r="185" spans="1:9" x14ac:dyDescent="0.35">
      <c r="A185" s="30" t="s">
        <v>223</v>
      </c>
      <c r="B185" s="56">
        <v>0.3</v>
      </c>
      <c r="C185" s="28">
        <f>ROUND(($E$2*$F$2*$G$2*Средн!$D$22*B185)/100,2)</f>
        <v>0</v>
      </c>
      <c r="D185" s="56">
        <v>0.3</v>
      </c>
      <c r="E185" s="56">
        <v>0.3</v>
      </c>
      <c r="F185" s="56">
        <v>0.3</v>
      </c>
      <c r="G185" s="56">
        <v>0.3</v>
      </c>
      <c r="H185" s="56">
        <v>0.3</v>
      </c>
      <c r="I185" s="57">
        <v>0.3</v>
      </c>
    </row>
    <row r="186" spans="1:9" x14ac:dyDescent="0.35">
      <c r="A186" s="30" t="s">
        <v>224</v>
      </c>
      <c r="B186" s="56">
        <v>0.2</v>
      </c>
      <c r="C186" s="28">
        <f>ROUND(($E$2*$F$2*$G$2*Средн!$D$22*B186)/100,2)</f>
        <v>0</v>
      </c>
      <c r="D186" s="56">
        <v>0.2</v>
      </c>
      <c r="E186" s="56">
        <v>0.2</v>
      </c>
      <c r="F186" s="56">
        <v>0.2</v>
      </c>
      <c r="G186" s="56">
        <v>0.2</v>
      </c>
      <c r="H186" s="56">
        <v>0.2</v>
      </c>
      <c r="I186" s="57">
        <v>0.2</v>
      </c>
    </row>
    <row r="187" spans="1:9" x14ac:dyDescent="0.35">
      <c r="A187" s="30" t="s">
        <v>225</v>
      </c>
      <c r="B187" s="56">
        <v>0.6</v>
      </c>
      <c r="C187" s="28">
        <f>ROUND(($E$2*$F$2*$G$2*Средн!$D$22*B187)/100,2)</f>
        <v>0</v>
      </c>
      <c r="D187" s="56">
        <v>0.6</v>
      </c>
      <c r="E187" s="56">
        <v>0.6</v>
      </c>
      <c r="F187" s="56">
        <v>0.6</v>
      </c>
      <c r="G187" s="56">
        <v>0.5</v>
      </c>
      <c r="H187" s="56">
        <v>0.5</v>
      </c>
      <c r="I187" s="57">
        <v>0.6</v>
      </c>
    </row>
    <row r="188" spans="1:9" x14ac:dyDescent="0.35">
      <c r="A188" s="30" t="s">
        <v>226</v>
      </c>
      <c r="B188" s="56">
        <v>0.2</v>
      </c>
      <c r="C188" s="28">
        <f>ROUND(($E$2*$F$2*$G$2*Средн!$D$22*B188)/100,2)</f>
        <v>0</v>
      </c>
      <c r="D188" s="56">
        <v>0.2</v>
      </c>
      <c r="E188" s="56">
        <v>0.2</v>
      </c>
      <c r="F188" s="56">
        <v>0.2</v>
      </c>
      <c r="G188" s="56">
        <v>0.2</v>
      </c>
      <c r="H188" s="56">
        <v>0.2</v>
      </c>
      <c r="I188" s="57">
        <v>0.2</v>
      </c>
    </row>
    <row r="189" spans="1:9" x14ac:dyDescent="0.35">
      <c r="A189" s="30" t="s">
        <v>227</v>
      </c>
      <c r="B189" s="56">
        <v>0.6</v>
      </c>
      <c r="C189" s="28">
        <f>ROUND(($E$2*$F$2*$G$2*Средн!$D$22*B189)/100,2)</f>
        <v>0</v>
      </c>
      <c r="D189" s="56">
        <v>0.6</v>
      </c>
      <c r="E189" s="56">
        <v>0.6</v>
      </c>
      <c r="F189" s="56">
        <v>0.5</v>
      </c>
      <c r="G189" s="56">
        <v>0.5</v>
      </c>
      <c r="H189" s="56">
        <v>0.5</v>
      </c>
      <c r="I189" s="57">
        <v>0.6</v>
      </c>
    </row>
    <row r="190" spans="1:9" x14ac:dyDescent="0.35">
      <c r="A190" s="30" t="s">
        <v>228</v>
      </c>
      <c r="B190" s="56">
        <v>2.5</v>
      </c>
      <c r="C190" s="28">
        <f>ROUND(($E$2*$F$2*$G$2*Средн!$D$22*B190)/100,2)</f>
        <v>0</v>
      </c>
      <c r="D190" s="56">
        <v>2.5</v>
      </c>
      <c r="E190" s="56">
        <v>2.2999999999999998</v>
      </c>
      <c r="F190" s="56">
        <v>2.1</v>
      </c>
      <c r="G190" s="56">
        <v>2</v>
      </c>
      <c r="H190" s="56">
        <v>1.7</v>
      </c>
      <c r="I190" s="57">
        <v>2.2999999999999998</v>
      </c>
    </row>
    <row r="191" spans="1:9" x14ac:dyDescent="0.35">
      <c r="A191" s="30" t="s">
        <v>229</v>
      </c>
      <c r="B191" s="56">
        <v>34</v>
      </c>
      <c r="C191" s="28">
        <f>ROUND(($E$2*$F$2*$G$2*Средн!$D$22*B191)/100,2)</f>
        <v>0</v>
      </c>
      <c r="D191" s="56">
        <v>34</v>
      </c>
      <c r="E191" s="56">
        <v>33</v>
      </c>
      <c r="F191" s="56">
        <v>31</v>
      </c>
      <c r="G191" s="56">
        <v>31</v>
      </c>
      <c r="H191" s="56">
        <v>29</v>
      </c>
      <c r="I191" s="57">
        <v>36</v>
      </c>
    </row>
    <row r="192" spans="1:9" x14ac:dyDescent="0.35">
      <c r="A192" s="30" t="s">
        <v>147</v>
      </c>
      <c r="B192" s="56">
        <v>21</v>
      </c>
      <c r="C192" s="28">
        <f>ROUND(($E$2*$F$2*$G$2*Средн!$D$22*B192)/100,2)</f>
        <v>0</v>
      </c>
      <c r="D192" s="56">
        <v>21</v>
      </c>
      <c r="E192" s="56">
        <v>20</v>
      </c>
      <c r="F192" s="56">
        <v>18</v>
      </c>
      <c r="G192" s="56">
        <v>18</v>
      </c>
      <c r="H192" s="56">
        <v>16</v>
      </c>
      <c r="I192" s="57">
        <v>23</v>
      </c>
    </row>
    <row r="193" spans="1:9" x14ac:dyDescent="0.35">
      <c r="A193" s="30" t="s">
        <v>148</v>
      </c>
      <c r="B193" s="56">
        <v>1</v>
      </c>
      <c r="C193" s="28">
        <f>ROUND(($E$2*$F$2*$G$2*Средн!$D$22*B193)/100,2)</f>
        <v>0</v>
      </c>
      <c r="D193" s="56">
        <v>1</v>
      </c>
      <c r="E193" s="56">
        <v>1</v>
      </c>
      <c r="F193" s="56">
        <v>1</v>
      </c>
      <c r="G193" s="56">
        <v>1</v>
      </c>
      <c r="H193" s="56">
        <v>1</v>
      </c>
      <c r="I193" s="57">
        <v>1</v>
      </c>
    </row>
    <row r="194" spans="1:9" x14ac:dyDescent="0.35">
      <c r="A194" s="30" t="s">
        <v>149</v>
      </c>
      <c r="B194" s="56">
        <v>1</v>
      </c>
      <c r="C194" s="28">
        <f>ROUND(($E$2*$F$2*$G$2*Средн!$D$22*B194)/100,2)</f>
        <v>0</v>
      </c>
      <c r="D194" s="56">
        <v>1</v>
      </c>
      <c r="E194" s="56">
        <v>1</v>
      </c>
      <c r="F194" s="56">
        <v>1</v>
      </c>
      <c r="G194" s="56">
        <v>1</v>
      </c>
      <c r="H194" s="56">
        <v>1</v>
      </c>
      <c r="I194" s="57">
        <v>1</v>
      </c>
    </row>
    <row r="195" spans="1:9" x14ac:dyDescent="0.35">
      <c r="A195" s="30" t="s">
        <v>150</v>
      </c>
      <c r="B195" s="56">
        <v>14</v>
      </c>
      <c r="C195" s="28">
        <f>ROUND(($E$2*$F$2*$G$2*Средн!$D$22*B195)/100,2)</f>
        <v>0</v>
      </c>
      <c r="D195" s="56">
        <v>14</v>
      </c>
      <c r="E195" s="56">
        <v>13</v>
      </c>
      <c r="F195" s="56">
        <v>11</v>
      </c>
      <c r="G195" s="56">
        <v>11</v>
      </c>
      <c r="H195" s="56">
        <v>9</v>
      </c>
      <c r="I195" s="57">
        <v>16</v>
      </c>
    </row>
    <row r="196" spans="1:9" x14ac:dyDescent="0.35">
      <c r="A196" s="30" t="s">
        <v>152</v>
      </c>
      <c r="B196" s="56">
        <v>1.1000000000000001</v>
      </c>
      <c r="C196" s="28">
        <f>ROUND(($E$2*$F$2*$G$2*Средн!$D$22*B196)/100,2)</f>
        <v>0</v>
      </c>
      <c r="D196" s="56">
        <v>1.1000000000000001</v>
      </c>
      <c r="E196" s="56">
        <v>1.1000000000000001</v>
      </c>
      <c r="F196" s="56">
        <v>1.1000000000000001</v>
      </c>
      <c r="G196" s="56">
        <v>1.1000000000000001</v>
      </c>
      <c r="H196" s="56">
        <v>1.1000000000000001</v>
      </c>
      <c r="I196" s="57">
        <v>1.1000000000000001</v>
      </c>
    </row>
    <row r="197" spans="1:9" x14ac:dyDescent="0.35">
      <c r="A197" s="30" t="s">
        <v>153</v>
      </c>
      <c r="B197" s="56">
        <v>0.5</v>
      </c>
      <c r="C197" s="28">
        <f>ROUND(($E$2*$F$2*$G$2*Средн!$D$22*B197)/100,2)</f>
        <v>0</v>
      </c>
      <c r="D197" s="56">
        <v>0.5</v>
      </c>
      <c r="E197" s="56">
        <v>0.5</v>
      </c>
      <c r="F197" s="56">
        <v>0.5</v>
      </c>
      <c r="G197" s="56">
        <v>0.5</v>
      </c>
      <c r="H197" s="56">
        <v>0.5</v>
      </c>
      <c r="I197" s="57">
        <v>0.5</v>
      </c>
    </row>
    <row r="198" spans="1:9" x14ac:dyDescent="0.35">
      <c r="A198" s="30" t="s">
        <v>154</v>
      </c>
      <c r="B198" s="56">
        <v>0.5</v>
      </c>
      <c r="C198" s="28">
        <f>ROUND(($E$2*$F$2*$G$2*Средн!$D$22*B198)/100,2)</f>
        <v>0</v>
      </c>
      <c r="D198" s="56">
        <v>0.5</v>
      </c>
      <c r="E198" s="56">
        <v>0.5</v>
      </c>
      <c r="F198" s="56">
        <v>0.5</v>
      </c>
      <c r="G198" s="56">
        <v>0.5</v>
      </c>
      <c r="H198" s="56">
        <v>0.5</v>
      </c>
      <c r="I198" s="57">
        <v>0.5</v>
      </c>
    </row>
    <row r="199" spans="1:9" x14ac:dyDescent="0.35">
      <c r="A199" s="30" t="s">
        <v>230</v>
      </c>
      <c r="B199" s="56">
        <v>0.9</v>
      </c>
      <c r="C199" s="28">
        <f>ROUND(($E$2*$F$2*$G$2*Средн!$D$22*B199)/100,2)</f>
        <v>0</v>
      </c>
      <c r="D199" s="56">
        <v>0.9</v>
      </c>
      <c r="E199" s="56">
        <v>0.9</v>
      </c>
      <c r="F199" s="56">
        <v>0.9</v>
      </c>
      <c r="G199" s="56">
        <v>0.9</v>
      </c>
      <c r="H199" s="56">
        <v>0.9</v>
      </c>
      <c r="I199" s="57">
        <v>0.9</v>
      </c>
    </row>
    <row r="200" spans="1:9" x14ac:dyDescent="0.35">
      <c r="A200" s="30" t="s">
        <v>155</v>
      </c>
      <c r="B200" s="56">
        <v>1.4</v>
      </c>
      <c r="C200" s="28">
        <f>ROUND(($E$2*$F$2*$G$2*Средн!$D$22*B200)/100,2)</f>
        <v>0</v>
      </c>
      <c r="D200" s="56">
        <v>1.4</v>
      </c>
      <c r="E200" s="56">
        <v>1.4</v>
      </c>
      <c r="F200" s="56">
        <v>1.4</v>
      </c>
      <c r="G200" s="56">
        <v>1.4</v>
      </c>
      <c r="H200" s="56">
        <v>1.4</v>
      </c>
      <c r="I200" s="57">
        <v>1.4</v>
      </c>
    </row>
    <row r="201" spans="1:9" x14ac:dyDescent="0.35">
      <c r="A201" s="30" t="s">
        <v>231</v>
      </c>
      <c r="B201" s="56">
        <v>0.8</v>
      </c>
      <c r="C201" s="28">
        <f>ROUND(($E$2*$F$2*$G$2*Средн!$D$22*B201)/100,2)</f>
        <v>0</v>
      </c>
      <c r="D201" s="56">
        <v>0.8</v>
      </c>
      <c r="E201" s="56">
        <v>0.8</v>
      </c>
      <c r="F201" s="56">
        <v>0.8</v>
      </c>
      <c r="G201" s="56">
        <v>0.8</v>
      </c>
      <c r="H201" s="56">
        <v>0.8</v>
      </c>
      <c r="I201" s="57">
        <v>0.8</v>
      </c>
    </row>
    <row r="202" spans="1:9" x14ac:dyDescent="0.35">
      <c r="A202" s="30" t="s">
        <v>190</v>
      </c>
      <c r="B202" s="56">
        <v>0.9</v>
      </c>
      <c r="C202" s="28">
        <f>ROUND(($E$2*$F$2*$G$2*Средн!$D$22*B202)/100,2)</f>
        <v>0</v>
      </c>
      <c r="D202" s="56">
        <v>0.9</v>
      </c>
      <c r="E202" s="56">
        <v>0.9</v>
      </c>
      <c r="F202" s="56">
        <v>0.9</v>
      </c>
      <c r="G202" s="56">
        <v>0.9</v>
      </c>
      <c r="H202" s="56">
        <v>0.9</v>
      </c>
      <c r="I202" s="57">
        <v>0.9</v>
      </c>
    </row>
    <row r="203" spans="1:9" x14ac:dyDescent="0.35">
      <c r="A203" s="30" t="s">
        <v>232</v>
      </c>
      <c r="B203" s="56">
        <v>0.8</v>
      </c>
      <c r="C203" s="28">
        <f>ROUND(($E$2*$F$2*$G$2*Средн!$D$22*B203)/100,2)</f>
        <v>0</v>
      </c>
      <c r="D203" s="56">
        <v>0.8</v>
      </c>
      <c r="E203" s="56">
        <v>0.8</v>
      </c>
      <c r="F203" s="56">
        <v>0.8</v>
      </c>
      <c r="G203" s="56">
        <v>0.8</v>
      </c>
      <c r="H203" s="56">
        <v>0.8</v>
      </c>
      <c r="I203" s="57">
        <v>0.8</v>
      </c>
    </row>
    <row r="204" spans="1:9" x14ac:dyDescent="0.35">
      <c r="A204" s="30" t="s">
        <v>156</v>
      </c>
      <c r="B204" s="56">
        <v>1</v>
      </c>
      <c r="C204" s="28">
        <f>ROUND(($E$2*$F$2*$G$2*Средн!$D$22*B204)/100,2)</f>
        <v>0</v>
      </c>
      <c r="D204" s="56">
        <v>1</v>
      </c>
      <c r="E204" s="56">
        <v>1</v>
      </c>
      <c r="F204" s="56">
        <v>1</v>
      </c>
      <c r="G204" s="56">
        <v>1</v>
      </c>
      <c r="H204" s="56">
        <v>1</v>
      </c>
      <c r="I204" s="57">
        <v>1</v>
      </c>
    </row>
    <row r="205" spans="1:9" x14ac:dyDescent="0.35">
      <c r="A205" s="30" t="s">
        <v>157</v>
      </c>
      <c r="B205" s="56">
        <v>1.2</v>
      </c>
      <c r="C205" s="28">
        <f>ROUND(($E$2*$F$2*$G$2*Средн!$D$22*B205)/100,2)</f>
        <v>0</v>
      </c>
      <c r="D205" s="56">
        <v>1.2</v>
      </c>
      <c r="E205" s="56">
        <v>1.2</v>
      </c>
      <c r="F205" s="56">
        <v>1.2</v>
      </c>
      <c r="G205" s="56">
        <v>1.2</v>
      </c>
      <c r="H205" s="56">
        <v>1.2</v>
      </c>
      <c r="I205" s="57">
        <v>1.2</v>
      </c>
    </row>
    <row r="206" spans="1:9" x14ac:dyDescent="0.35">
      <c r="A206" s="30" t="s">
        <v>233</v>
      </c>
      <c r="B206" s="56">
        <v>1</v>
      </c>
      <c r="C206" s="28">
        <f>ROUND(($E$2*$F$2*$G$2*Средн!$D$22*B206)/100,2)</f>
        <v>0</v>
      </c>
      <c r="D206" s="56">
        <v>1</v>
      </c>
      <c r="E206" s="56">
        <v>1</v>
      </c>
      <c r="F206" s="56">
        <v>1</v>
      </c>
      <c r="G206" s="56">
        <v>1</v>
      </c>
      <c r="H206" s="56">
        <v>1</v>
      </c>
      <c r="I206" s="57">
        <v>1</v>
      </c>
    </row>
    <row r="207" spans="1:9" x14ac:dyDescent="0.35">
      <c r="A207" s="30" t="s">
        <v>159</v>
      </c>
      <c r="B207" s="56">
        <v>2.1</v>
      </c>
      <c r="C207" s="28">
        <f>ROUND(($E$2*$F$2*$G$2*Средн!$D$22*B207)/100,2)</f>
        <v>0</v>
      </c>
      <c r="D207" s="56">
        <v>2.1</v>
      </c>
      <c r="E207" s="56">
        <v>2.1</v>
      </c>
      <c r="F207" s="56">
        <v>2.1</v>
      </c>
      <c r="G207" s="56">
        <v>2.1</v>
      </c>
      <c r="H207" s="56">
        <v>2.1</v>
      </c>
      <c r="I207" s="57">
        <v>2.1</v>
      </c>
    </row>
    <row r="208" spans="1:9" x14ac:dyDescent="0.35">
      <c r="A208" s="30" t="s">
        <v>160</v>
      </c>
      <c r="B208" s="56">
        <v>1.6</v>
      </c>
      <c r="C208" s="28">
        <f>ROUND(($E$2*$F$2*$G$2*Средн!$D$22*B208)/100,2)</f>
        <v>0</v>
      </c>
      <c r="D208" s="56">
        <v>1.6</v>
      </c>
      <c r="E208" s="56">
        <v>1.6</v>
      </c>
      <c r="F208" s="56">
        <v>1.6</v>
      </c>
      <c r="G208" s="56">
        <v>1.6</v>
      </c>
      <c r="H208" s="56">
        <v>1.6</v>
      </c>
      <c r="I208" s="57">
        <v>1.6</v>
      </c>
    </row>
    <row r="209" spans="1:9" x14ac:dyDescent="0.35">
      <c r="A209" s="30" t="s">
        <v>234</v>
      </c>
      <c r="B209" s="56">
        <v>3</v>
      </c>
      <c r="C209" s="28">
        <f>ROUND(($E$2*$F$2*$G$2*Средн!$D$22*B209)/100,2)</f>
        <v>0</v>
      </c>
      <c r="D209" s="56">
        <v>3</v>
      </c>
      <c r="E209" s="56">
        <v>3</v>
      </c>
      <c r="F209" s="56">
        <v>3</v>
      </c>
      <c r="G209" s="56">
        <v>3</v>
      </c>
      <c r="H209" s="56">
        <v>2</v>
      </c>
      <c r="I209" s="57">
        <v>3</v>
      </c>
    </row>
    <row r="210" spans="1:9" x14ac:dyDescent="0.35">
      <c r="A210" s="30" t="s">
        <v>235</v>
      </c>
      <c r="B210" s="56">
        <v>10</v>
      </c>
      <c r="C210" s="28">
        <f>ROUND(($E$2*$F$2*$G$2*Средн!$D$22*B210)/100,2)</f>
        <v>0</v>
      </c>
      <c r="D210" s="56">
        <v>10</v>
      </c>
      <c r="E210" s="56">
        <v>9</v>
      </c>
      <c r="F210" s="56">
        <v>8</v>
      </c>
      <c r="G210" s="56">
        <v>8</v>
      </c>
      <c r="H210" s="56">
        <v>7</v>
      </c>
      <c r="I210" s="57">
        <v>9</v>
      </c>
    </row>
    <row r="211" spans="1:9" x14ac:dyDescent="0.35">
      <c r="A211" s="30" t="s">
        <v>236</v>
      </c>
      <c r="B211" s="56">
        <v>15</v>
      </c>
      <c r="C211" s="28">
        <f>ROUND(($E$2*$F$2*$G$2*Средн!$D$22*B211)/100,2)</f>
        <v>0</v>
      </c>
      <c r="D211" s="56">
        <v>15</v>
      </c>
      <c r="E211" s="56">
        <v>14</v>
      </c>
      <c r="F211" s="56">
        <v>13</v>
      </c>
      <c r="G211" s="56">
        <v>12</v>
      </c>
      <c r="H211" s="56">
        <v>11</v>
      </c>
      <c r="I211" s="57">
        <v>14</v>
      </c>
    </row>
    <row r="212" spans="1:9" x14ac:dyDescent="0.35">
      <c r="A212" s="30" t="s">
        <v>170</v>
      </c>
      <c r="B212" s="56">
        <v>3</v>
      </c>
      <c r="C212" s="28">
        <f>ROUND(($E$2*$F$2*$G$2*Средн!$D$22*B212)/100,2)</f>
        <v>0</v>
      </c>
      <c r="D212" s="56">
        <v>3</v>
      </c>
      <c r="E212" s="56">
        <v>3</v>
      </c>
      <c r="F212" s="56">
        <v>3</v>
      </c>
      <c r="G212" s="56">
        <v>3</v>
      </c>
      <c r="H212" s="56">
        <v>3</v>
      </c>
      <c r="I212" s="57">
        <v>3</v>
      </c>
    </row>
    <row r="213" spans="1:9" x14ac:dyDescent="0.35">
      <c r="A213" s="30" t="s">
        <v>171</v>
      </c>
      <c r="B213" s="56">
        <v>0.5</v>
      </c>
      <c r="C213" s="28">
        <f>ROUND(($E$2*$F$2*$G$2*Средн!$D$22*B213)/100,2)</f>
        <v>0</v>
      </c>
      <c r="D213" s="56">
        <v>0.5</v>
      </c>
      <c r="E213" s="56">
        <v>0.5</v>
      </c>
      <c r="F213" s="56">
        <v>0.5</v>
      </c>
      <c r="G213" s="56">
        <v>0.5</v>
      </c>
      <c r="H213" s="56">
        <v>0.5</v>
      </c>
      <c r="I213" s="57">
        <v>0.5</v>
      </c>
    </row>
    <row r="214" spans="1:9" x14ac:dyDescent="0.35">
      <c r="A214" s="30" t="s">
        <v>172</v>
      </c>
      <c r="B214" s="56">
        <v>1</v>
      </c>
      <c r="C214" s="28">
        <f>ROUND(($E$2*$F$2*$G$2*Средн!$D$22*B214)/100,2)</f>
        <v>0</v>
      </c>
      <c r="D214" s="56">
        <v>1</v>
      </c>
      <c r="E214" s="56">
        <v>1</v>
      </c>
      <c r="F214" s="56">
        <v>1</v>
      </c>
      <c r="G214" s="56">
        <v>1</v>
      </c>
      <c r="H214" s="56">
        <v>1</v>
      </c>
      <c r="I214" s="57">
        <v>1</v>
      </c>
    </row>
    <row r="215" spans="1:9" x14ac:dyDescent="0.35">
      <c r="A215" s="30" t="s">
        <v>73</v>
      </c>
      <c r="B215" s="56">
        <v>1.2</v>
      </c>
      <c r="C215" s="28">
        <f>ROUND(($E$2*$F$2*$G$2*Средн!$D$22*B215)/100,2)</f>
        <v>0</v>
      </c>
      <c r="D215" s="56">
        <v>1.2</v>
      </c>
      <c r="E215" s="56">
        <v>1.2</v>
      </c>
      <c r="F215" s="56">
        <v>1.2</v>
      </c>
      <c r="G215" s="56">
        <v>1.2</v>
      </c>
      <c r="H215" s="56">
        <v>1.2</v>
      </c>
      <c r="I215" s="57">
        <v>1.2</v>
      </c>
    </row>
    <row r="216" spans="1:9" x14ac:dyDescent="0.35">
      <c r="A216" s="30" t="s">
        <v>173</v>
      </c>
      <c r="B216" s="56">
        <v>0.3</v>
      </c>
      <c r="C216" s="28">
        <f>ROUND(($E$2*$F$2*$G$2*Средн!$D$22*B216)/100,2)</f>
        <v>0</v>
      </c>
      <c r="D216" s="56">
        <v>0.3</v>
      </c>
      <c r="E216" s="56">
        <v>0.3</v>
      </c>
      <c r="F216" s="56">
        <v>0.3</v>
      </c>
      <c r="G216" s="56">
        <v>0.3</v>
      </c>
      <c r="H216" s="56">
        <v>0.3</v>
      </c>
      <c r="I216" s="57">
        <v>0.3</v>
      </c>
    </row>
    <row r="217" spans="1:9" x14ac:dyDescent="0.35">
      <c r="A217" s="30" t="s">
        <v>237</v>
      </c>
      <c r="B217" s="56">
        <v>0.1</v>
      </c>
      <c r="C217" s="28">
        <f>ROUND(($E$2*$F$2*$G$2*Средн!$D$22*B217)/100,2)</f>
        <v>0</v>
      </c>
      <c r="D217" s="56">
        <v>0.1</v>
      </c>
      <c r="E217" s="56">
        <v>0.1</v>
      </c>
      <c r="F217" s="56">
        <v>0.1</v>
      </c>
      <c r="G217" s="56">
        <v>0.1</v>
      </c>
      <c r="H217" s="56">
        <v>0.1</v>
      </c>
      <c r="I217" s="57">
        <v>0.1</v>
      </c>
    </row>
    <row r="218" spans="1:9" x14ac:dyDescent="0.35">
      <c r="A218" s="30" t="s">
        <v>175</v>
      </c>
      <c r="B218" s="56">
        <v>3</v>
      </c>
      <c r="C218" s="28">
        <f>ROUND(($E$2*$F$2*$G$2*Средн!$D$22*B218)/100,2)</f>
        <v>0</v>
      </c>
      <c r="D218" s="56">
        <v>3</v>
      </c>
      <c r="E218" s="56">
        <v>3</v>
      </c>
      <c r="F218" s="56">
        <v>3</v>
      </c>
      <c r="G218" s="56">
        <v>3</v>
      </c>
      <c r="H218" s="56">
        <v>2</v>
      </c>
      <c r="I218" s="57">
        <v>3</v>
      </c>
    </row>
    <row r="219" spans="1:9" x14ac:dyDescent="0.35">
      <c r="A219" s="30" t="s">
        <v>238</v>
      </c>
      <c r="B219" s="56">
        <v>5</v>
      </c>
      <c r="C219" s="28">
        <f>ROUND(($E$2*$F$2*$G$2*Средн!$D$22*B219)/100,2)</f>
        <v>0</v>
      </c>
      <c r="D219" s="56">
        <v>5</v>
      </c>
      <c r="E219" s="56">
        <v>9</v>
      </c>
      <c r="F219" s="56">
        <v>14</v>
      </c>
      <c r="G219" s="56">
        <v>16</v>
      </c>
      <c r="H219" s="56">
        <v>24</v>
      </c>
      <c r="I219" s="57">
        <v>3</v>
      </c>
    </row>
    <row r="220" spans="1:9" x14ac:dyDescent="0.35">
      <c r="A220" s="30" t="s">
        <v>74</v>
      </c>
      <c r="B220" s="56">
        <v>3</v>
      </c>
      <c r="C220" s="28">
        <f>ROUND(($E$2*$F$2*$G$2*Средн!$D$22*B220)/100,2)</f>
        <v>0</v>
      </c>
      <c r="D220" s="57" t="s">
        <v>239</v>
      </c>
      <c r="E220" s="57" t="s">
        <v>239</v>
      </c>
      <c r="F220" s="57" t="s">
        <v>239</v>
      </c>
      <c r="G220" s="57" t="s">
        <v>239</v>
      </c>
      <c r="H220" s="57" t="s">
        <v>239</v>
      </c>
      <c r="I220" s="57" t="s">
        <v>239</v>
      </c>
    </row>
    <row r="221" spans="1:9" x14ac:dyDescent="0.35">
      <c r="A221" s="27" t="s">
        <v>240</v>
      </c>
      <c r="B221" s="46">
        <f t="shared" ref="B221:C221" si="0">SUM(B169:B220)</f>
        <v>172.70000000000002</v>
      </c>
      <c r="C221" s="46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selection activeCell="C21" sqref="C21:F21"/>
    </sheetView>
  </sheetViews>
  <sheetFormatPr defaultColWidth="8.7265625" defaultRowHeight="14.5" x14ac:dyDescent="0.35"/>
  <cols>
    <col min="1" max="6" width="20.7265625" style="29" customWidth="1"/>
    <col min="7" max="7" width="10.26953125" style="29" bestFit="1" customWidth="1"/>
    <col min="8" max="16384" width="8.7265625" style="29"/>
  </cols>
  <sheetData>
    <row r="1" spans="1:6" ht="15" x14ac:dyDescent="0.35">
      <c r="A1" s="72" t="s">
        <v>57</v>
      </c>
      <c r="B1" s="71" t="s">
        <v>58</v>
      </c>
      <c r="C1" s="71" t="s">
        <v>59</v>
      </c>
      <c r="D1" s="71" t="s">
        <v>60</v>
      </c>
      <c r="E1" s="71" t="s">
        <v>61</v>
      </c>
      <c r="F1" s="71" t="s">
        <v>62</v>
      </c>
    </row>
    <row r="2" spans="1:6" ht="15.5" x14ac:dyDescent="0.35">
      <c r="A2" s="62" t="s">
        <v>63</v>
      </c>
      <c r="B2" s="63">
        <v>43831</v>
      </c>
      <c r="C2" s="63">
        <v>43831</v>
      </c>
      <c r="D2" s="63">
        <v>43831</v>
      </c>
      <c r="E2" s="63">
        <v>43831</v>
      </c>
      <c r="F2" s="63">
        <v>43831</v>
      </c>
    </row>
    <row r="3" spans="1:6" ht="15.5" x14ac:dyDescent="0.35">
      <c r="A3" s="62" t="s">
        <v>260</v>
      </c>
      <c r="B3" s="64" t="s">
        <v>65</v>
      </c>
      <c r="C3" s="65" t="s">
        <v>109</v>
      </c>
      <c r="D3" s="65" t="s">
        <v>109</v>
      </c>
      <c r="E3" s="65" t="s">
        <v>109</v>
      </c>
      <c r="F3" s="65" t="s">
        <v>109</v>
      </c>
    </row>
    <row r="4" spans="1:6" ht="15.5" x14ac:dyDescent="0.35">
      <c r="A4" s="62" t="s">
        <v>263</v>
      </c>
      <c r="B4" s="64" t="str">
        <f>Дано!B17</f>
        <v>Subaru Outback</v>
      </c>
      <c r="C4" s="64" t="str">
        <f>$B$4</f>
        <v>Subaru Outback</v>
      </c>
      <c r="D4" s="64" t="str">
        <f t="shared" ref="D4:F4" si="0">$B$4</f>
        <v>Subaru Outback</v>
      </c>
      <c r="E4" s="64" t="str">
        <f t="shared" si="0"/>
        <v>Subaru Outback</v>
      </c>
      <c r="F4" s="64" t="str">
        <f t="shared" si="0"/>
        <v>Subaru Outback</v>
      </c>
    </row>
    <row r="5" spans="1:6" ht="15.5" x14ac:dyDescent="0.35">
      <c r="A5" s="62" t="s">
        <v>66</v>
      </c>
      <c r="B5" s="64" t="str">
        <f>Дано!B22</f>
        <v>2088</v>
      </c>
      <c r="C5" s="64" t="str">
        <f>$B$5</f>
        <v>2088</v>
      </c>
      <c r="D5" s="64" t="str">
        <f t="shared" ref="D5:F5" si="1">$B$5</f>
        <v>2088</v>
      </c>
      <c r="E5" s="64" t="str">
        <f t="shared" si="1"/>
        <v>2088</v>
      </c>
      <c r="F5" s="64" t="str">
        <f t="shared" si="1"/>
        <v>2088</v>
      </c>
    </row>
    <row r="6" spans="1:6" ht="77.5" x14ac:dyDescent="0.35">
      <c r="A6" s="62" t="s">
        <v>64</v>
      </c>
      <c r="B6" s="64" t="s">
        <v>294</v>
      </c>
      <c r="C6" s="64" t="s">
        <v>294</v>
      </c>
      <c r="D6" s="64" t="s">
        <v>294</v>
      </c>
      <c r="E6" s="64" t="s">
        <v>294</v>
      </c>
      <c r="F6" s="64" t="s">
        <v>294</v>
      </c>
    </row>
    <row r="7" spans="1:6" ht="15" x14ac:dyDescent="0.35">
      <c r="A7" s="211" t="s">
        <v>262</v>
      </c>
      <c r="B7" s="211"/>
      <c r="C7" s="70">
        <v>0</v>
      </c>
      <c r="D7" s="70">
        <v>0</v>
      </c>
      <c r="E7" s="70">
        <v>0</v>
      </c>
      <c r="F7" s="70">
        <v>0</v>
      </c>
    </row>
    <row r="8" spans="1:6" s="66" customFormat="1" ht="15" x14ac:dyDescent="0.35">
      <c r="A8" s="214" t="s">
        <v>68</v>
      </c>
      <c r="B8" s="215"/>
      <c r="C8" s="71" t="s">
        <v>59</v>
      </c>
      <c r="D8" s="71" t="s">
        <v>60</v>
      </c>
      <c r="E8" s="71" t="s">
        <v>61</v>
      </c>
      <c r="F8" s="71" t="s">
        <v>62</v>
      </c>
    </row>
    <row r="9" spans="1:6" s="69" customFormat="1" ht="15" x14ac:dyDescent="0.35">
      <c r="A9" s="211" t="s">
        <v>265</v>
      </c>
      <c r="B9" s="211"/>
      <c r="C9" s="68">
        <v>1</v>
      </c>
      <c r="D9" s="68">
        <v>1</v>
      </c>
      <c r="E9" s="68">
        <v>1</v>
      </c>
      <c r="F9" s="68">
        <v>1</v>
      </c>
    </row>
    <row r="10" spans="1:6" s="66" customFormat="1" ht="15.5" x14ac:dyDescent="0.35">
      <c r="A10" s="212" t="s">
        <v>69</v>
      </c>
      <c r="B10" s="212"/>
      <c r="C10" s="67">
        <f>C7*C9</f>
        <v>0</v>
      </c>
      <c r="D10" s="67">
        <f>D7*D9</f>
        <v>0</v>
      </c>
      <c r="E10" s="67">
        <f>E7*E9</f>
        <v>0</v>
      </c>
      <c r="F10" s="67">
        <f>F7*F9</f>
        <v>0</v>
      </c>
    </row>
    <row r="11" spans="1:6" s="69" customFormat="1" ht="15" x14ac:dyDescent="0.35">
      <c r="A11" s="211" t="s">
        <v>70</v>
      </c>
      <c r="B11" s="211"/>
      <c r="C11" s="68">
        <v>1</v>
      </c>
      <c r="D11" s="68">
        <v>1</v>
      </c>
      <c r="E11" s="68">
        <v>1</v>
      </c>
      <c r="F11" s="68">
        <v>1</v>
      </c>
    </row>
    <row r="12" spans="1:6" s="66" customFormat="1" ht="15.5" x14ac:dyDescent="0.35">
      <c r="A12" s="212" t="s">
        <v>69</v>
      </c>
      <c r="B12" s="212"/>
      <c r="C12" s="67">
        <f>C10*C11</f>
        <v>0</v>
      </c>
      <c r="D12" s="67">
        <f t="shared" ref="D12:F12" si="2">D10*D11</f>
        <v>0</v>
      </c>
      <c r="E12" s="67">
        <f t="shared" si="2"/>
        <v>0</v>
      </c>
      <c r="F12" s="67">
        <f t="shared" si="2"/>
        <v>0</v>
      </c>
    </row>
    <row r="13" spans="1:6" s="69" customFormat="1" ht="15" x14ac:dyDescent="0.35">
      <c r="A13" s="211" t="s">
        <v>261</v>
      </c>
      <c r="B13" s="211"/>
      <c r="C13" s="68">
        <v>1</v>
      </c>
      <c r="D13" s="68">
        <v>1</v>
      </c>
      <c r="E13" s="68">
        <v>1</v>
      </c>
      <c r="F13" s="68">
        <v>1</v>
      </c>
    </row>
    <row r="14" spans="1:6" s="66" customFormat="1" ht="15.5" x14ac:dyDescent="0.35">
      <c r="A14" s="212" t="s">
        <v>69</v>
      </c>
      <c r="B14" s="212"/>
      <c r="C14" s="67">
        <f>C12*C13</f>
        <v>0</v>
      </c>
      <c r="D14" s="67">
        <f t="shared" ref="D14:F14" si="3">D12*D13</f>
        <v>0</v>
      </c>
      <c r="E14" s="67">
        <f t="shared" si="3"/>
        <v>0</v>
      </c>
      <c r="F14" s="67">
        <f t="shared" si="3"/>
        <v>0</v>
      </c>
    </row>
    <row r="15" spans="1:6" s="69" customFormat="1" ht="15" x14ac:dyDescent="0.35">
      <c r="A15" s="211" t="s">
        <v>264</v>
      </c>
      <c r="B15" s="211"/>
      <c r="C15" s="68">
        <v>1</v>
      </c>
      <c r="D15" s="68">
        <v>1</v>
      </c>
      <c r="E15" s="68">
        <v>1</v>
      </c>
      <c r="F15" s="68">
        <v>1</v>
      </c>
    </row>
    <row r="16" spans="1:6" s="66" customFormat="1" ht="15.5" x14ac:dyDescent="0.35">
      <c r="A16" s="212" t="s">
        <v>69</v>
      </c>
      <c r="B16" s="212"/>
      <c r="C16" s="67">
        <f>C14*C15</f>
        <v>0</v>
      </c>
      <c r="D16" s="67">
        <f t="shared" ref="D16:F16" si="4">D14*D15</f>
        <v>0</v>
      </c>
      <c r="E16" s="67">
        <f t="shared" si="4"/>
        <v>0</v>
      </c>
      <c r="F16" s="67">
        <f t="shared" si="4"/>
        <v>0</v>
      </c>
    </row>
    <row r="17" spans="1:6" s="69" customFormat="1" ht="15" x14ac:dyDescent="0.35">
      <c r="A17" s="211" t="s">
        <v>295</v>
      </c>
      <c r="B17" s="211"/>
      <c r="C17" s="68">
        <v>1</v>
      </c>
      <c r="D17" s="68">
        <v>1</v>
      </c>
      <c r="E17" s="68">
        <v>1</v>
      </c>
      <c r="F17" s="68">
        <v>1</v>
      </c>
    </row>
    <row r="18" spans="1:6" s="66" customFormat="1" ht="15.5" x14ac:dyDescent="0.35">
      <c r="A18" s="212" t="s">
        <v>69</v>
      </c>
      <c r="B18" s="212"/>
      <c r="C18" s="67">
        <f>C16*C17</f>
        <v>0</v>
      </c>
      <c r="D18" s="67">
        <f t="shared" ref="D18:F18" si="5">D16*D17</f>
        <v>0</v>
      </c>
      <c r="E18" s="67">
        <f t="shared" si="5"/>
        <v>0</v>
      </c>
      <c r="F18" s="67">
        <f t="shared" si="5"/>
        <v>0</v>
      </c>
    </row>
    <row r="19" spans="1:6" s="69" customFormat="1" ht="15.75" customHeight="1" x14ac:dyDescent="0.35">
      <c r="A19" s="211" t="s">
        <v>71</v>
      </c>
      <c r="B19" s="211"/>
      <c r="C19" s="68">
        <v>1</v>
      </c>
      <c r="D19" s="68">
        <v>1</v>
      </c>
      <c r="E19" s="68">
        <v>1</v>
      </c>
      <c r="F19" s="68">
        <v>1</v>
      </c>
    </row>
    <row r="20" spans="1:6" s="66" customFormat="1" ht="15.5" x14ac:dyDescent="0.35">
      <c r="A20" s="212" t="s">
        <v>69</v>
      </c>
      <c r="B20" s="212"/>
      <c r="C20" s="67">
        <f>C18*C19</f>
        <v>0</v>
      </c>
      <c r="D20" s="67">
        <f t="shared" ref="D20:F20" si="6">D18*D19</f>
        <v>0</v>
      </c>
      <c r="E20" s="67">
        <f t="shared" si="6"/>
        <v>0</v>
      </c>
      <c r="F20" s="67">
        <f t="shared" si="6"/>
        <v>0</v>
      </c>
    </row>
    <row r="21" spans="1:6" ht="15" x14ac:dyDescent="0.35">
      <c r="A21" s="213" t="s">
        <v>72</v>
      </c>
      <c r="B21" s="213"/>
      <c r="C21" s="210">
        <f>ROUND(AVERAGE(C20:F20),-2)</f>
        <v>0</v>
      </c>
      <c r="D21" s="210"/>
      <c r="E21" s="210"/>
      <c r="F21" s="210"/>
    </row>
    <row r="22" spans="1:6" ht="15.5" x14ac:dyDescent="0.35">
      <c r="A22" s="31"/>
      <c r="B22" s="31"/>
      <c r="C22" s="31"/>
      <c r="D22" s="31"/>
      <c r="E22" s="31"/>
      <c r="F22" s="31"/>
    </row>
  </sheetData>
  <mergeCells count="16">
    <mergeCell ref="A11:B11"/>
    <mergeCell ref="A7:B7"/>
    <mergeCell ref="A8:B8"/>
    <mergeCell ref="A9:B9"/>
    <mergeCell ref="A10:B10"/>
    <mergeCell ref="A12:B12"/>
    <mergeCell ref="A13:B13"/>
    <mergeCell ref="A14:B14"/>
    <mergeCell ref="A15:B15"/>
    <mergeCell ref="A16:B16"/>
    <mergeCell ref="C21:F21"/>
    <mergeCell ref="A17:B17"/>
    <mergeCell ref="A18:B18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Дано</vt:lpstr>
      <vt:lpstr>счёт</vt:lpstr>
      <vt:lpstr>факт</vt:lpstr>
      <vt:lpstr>прих</vt:lpstr>
      <vt:lpstr>акт</vt:lpstr>
      <vt:lpstr>Ущерб</vt:lpstr>
      <vt:lpstr>Средн</vt:lpstr>
      <vt:lpstr>УТС</vt:lpstr>
      <vt:lpstr>Утиль</vt:lpstr>
      <vt:lpstr>Рынок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2020-07-27T19:34:35Z</dcterms:modified>
</cp:coreProperties>
</file>