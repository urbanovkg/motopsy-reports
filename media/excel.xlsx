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F741A3D5-6616-4643-9AB4-143335790EE2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" i="7" l="1"/>
  <c r="A2" i="6" l="1"/>
  <c r="B11" i="3"/>
  <c r="L23" i="3"/>
  <c r="C20" i="3"/>
  <c r="C14" i="3"/>
  <c r="C15" i="2"/>
  <c r="H15" i="2"/>
  <c r="I15" i="2"/>
  <c r="C23" i="2"/>
  <c r="H4" i="2"/>
  <c r="C7" i="2"/>
  <c r="D4" i="2"/>
  <c r="C9" i="2"/>
  <c r="C17" i="3" s="1"/>
  <c r="D4" i="1"/>
  <c r="C9" i="1"/>
  <c r="H4" i="1"/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9" i="6"/>
  <c r="B6" i="6"/>
  <c r="D9" i="6"/>
  <c r="D10" i="6" s="1"/>
  <c r="A12" i="6" s="1"/>
  <c r="C9" i="6"/>
  <c r="B9" i="6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G52" i="2" l="1"/>
  <c r="G52" i="1"/>
  <c r="C22" i="13" l="1"/>
  <c r="D22" i="13" l="1"/>
  <c r="B168" i="11"/>
  <c r="B108" i="11"/>
  <c r="B23" i="11" l="1"/>
  <c r="B29" i="5" l="1"/>
  <c r="A1" i="2" l="1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K2" i="7"/>
  <c r="L2" i="7" s="1"/>
  <c r="C168" i="11" l="1"/>
  <c r="C108" i="11"/>
  <c r="C23" i="11"/>
  <c r="I15" i="1" l="1"/>
  <c r="C15" i="1"/>
  <c r="C7" i="1"/>
  <c r="A1" i="6" l="1"/>
  <c r="A11" i="3"/>
  <c r="M6" i="3" s="1"/>
  <c r="I52" i="2" l="1"/>
  <c r="H52" i="2"/>
  <c r="B15" i="2"/>
  <c r="C52" i="2"/>
  <c r="C46" i="2"/>
  <c r="L9" i="3"/>
  <c r="B52" i="2"/>
  <c r="C48" i="2"/>
  <c r="A38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L17" i="3"/>
  <c r="J52" i="1"/>
  <c r="J54" i="1" s="1"/>
  <c r="J15" i="2"/>
  <c r="J17" i="2" s="1"/>
  <c r="G11" i="3" s="1"/>
  <c r="L20" i="3" s="1"/>
  <c r="C44" i="2"/>
  <c r="C23" i="3"/>
  <c r="L13" i="3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<sst xmlns="http://schemas.openxmlformats.org/spreadsheetml/2006/main" count="471" uniqueCount="322">
  <si>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</si>
  <si>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</si>
  <si>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</si>
  <si>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</si>
  <si>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</si>
  <si>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</si>
  <si>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</si>
  <si>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</si>
  <si>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</si>
  <si>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</si>
  <si>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</si>
  <si>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</si>
  <si>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</si>
  <si>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</si>
  <si>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</si>
  <si>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</si>
  <si>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</si>
  <si>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</si>
  <si>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</si>
  <si>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</si>
  <si>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</si>
  <si>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</si>
  <si>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</si>
  <si>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</si>
  <si>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</si>
  <si>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</si>
  <si>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</si>
  <si>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</si>
  <si>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</si>
  <si>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</si>
  <si>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</si>
  <si>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</si>
  <si>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</si>
  <si>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</si>
  <si>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</si>
  <si>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</si>
  <si>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</si>
  <si>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</si>
  <si>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</si>
  <si>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</si>
  <si>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</si>
  <si>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</si>
  <si>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</si>
  <si>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</si>
  <si>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</si>
  <si>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</si>
  <si>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</si>
  <si>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</si>
  <si>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</si>
  <si>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</si>
  <si>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</si>
  <si>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</si>
  <si>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</si>
  <si>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</si>
  <si>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</si>
  <si>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</si>
  <si>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</si>
  <si>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</si>
  <si>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</si>
  <si>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</si>
  <si>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</si>
  <si>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</si>
  <si>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</si>
  <si>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</si>
  <si>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</si>
  <si>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</si>
  <si>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</si>
  <si>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</si>
  <si>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</si>
  <si>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</si>
  <si>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</si>
  <si>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</si>
  <si>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</si>
  <si>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</si>
  <si>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</si>
  <si>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</si>
  <si>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</si>
  <si>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</si>
  <si>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</si>
  <si>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</si>
  <si>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</si>
  <si>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</si>
  <si>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</si>
  <si>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</si>
  <si>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</si>
  <si>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</si>
  <si>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</si>
  <si>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</si>
  <si>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</si>
  <si>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</si>
  <si>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</si>
  <si>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</si>
  <si>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</si>
  <si>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</si>
  <si>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</si>
  <si>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</si>
  <si>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</si>
  <si>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</si>
  <si>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</si>
  <si>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</si>
  <si>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</si>
  <si>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</si>
  <si>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</si>
  <si>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</si>
  <si>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</si>
  <si>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</si>
  <si>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</si>
  <si>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</si>
  <si>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</si>
  <si>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</si>
  <si>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</si>
  <si>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</si>
  <si>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</si>
  <si>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</si>
  <si>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</si>
  <si>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</si>
  <si>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</si>
  <si>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</si>
  <si>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</si>
  <si>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</si>
  <si>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</si>
  <si>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</si>
  <si>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</si>
  <si>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</si>
  <si>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</si>
  <si>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</si>
  <si>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</si>
  <si>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</si>
  <si>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</si>
  <si>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</si>
  <si>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</si>
  <si>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</si>
  <si>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</si>
  <si>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</si>
  <si>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</si>
  <si>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</si>
  <si>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</si>
  <si>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</si>
  <si>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</si>
  <si>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</si>
  <si>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</si>
  <si>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</si>
  <si>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</si>
  <si>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</si>
  <si>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</si>
  <si>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</si>
  <si>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</si>
  <si>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</si>
  <si>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</si>
  <si>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</si>
  <si>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</si>
  <si>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</si>
  <si>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</si>
  <si>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</si>
  <si>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</si>
  <si>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</si>
  <si>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</si>
  <si>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</si>
  <si>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</si>
  <si>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</si>
  <si>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</si>
  <si>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</si>
  <si>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</si>
  <si>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</si>
  <si>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</si>
  <si>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</si>
  <si>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</si>
  <si>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</si>
  <si>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</si>
  <si>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</si>
  <si>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</si>
  <si>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</si>
  <si>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</si>
  <si>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</si>
  <si>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</si>
  <si>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</si>
  <si>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</si>
  <si>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</si>
  <si>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</si>
  <si>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</si>
  <si>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</si>
  <si>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</si>
  <si>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</si>
  <si>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</si>
  <si>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</si>
  <si>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</si>
  <si>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</si>
  <si>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</si>
  <si>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</si>
  <si>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</si>
  <si>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</si>
  <si>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</si>
  <si>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</si>
  <si>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</si>
  <si>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</si>
  <si>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</si>
  <si>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</si>
  <si>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</si>
  <si>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</si>
  <si>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</si>
  <si>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</si>
  <si>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</si>
  <si>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</si>
  <si>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</si>
  <si>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</si>
  <si>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</si>
  <si>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</si>
  <si>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</si>
  <si>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</si>
  <si>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</si>
  <si>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</si>
  <si>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</si>
  <si>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</si>
  <si>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</si>
  <si>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</si>
  <si>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</si>
  <si>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</si>
  <si>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</si>
  <si>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</si>
  <si>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</si>
  <si>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</si>
  <si>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</si>
  <si>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</si>
  <si>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</si>
  <si>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</si>
  <si>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</si>
  <si>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</si>
  <si>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</si>
  <si>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</si>
  <si>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</si>
  <si>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</si>
  <si>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</si>
  <si>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</si>
  <si>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</si>
  <si>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</si>
  <si>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</si>
  <si>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</si>
  <si>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</si>
  <si>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</si>
  <si>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</si>
  <si>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</si>
  <si>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</si>
  <si>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</si>
  <si>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</si>
  <si>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</si>
  <si>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</si>
  <si>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</si>
  <si>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</si>
  <si>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</si>
  <si>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</si>
  <si>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</si>
  <si>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</si>
  <si>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</si>
  <si>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</si>
  <si>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</si>
  <si>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</si>
  <si>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</si>
  <si>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</si>
  <si>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</si>
  <si>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</si>
  <si>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</si>
  <si>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</si>
  <si>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</si>
  <si>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</si>
  <si>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</si>
  <si>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</si>
  <si>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</si>
  <si>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</si>
  <si>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</si>
  <si>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</si>
  <si>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</si>
  <si>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</si>
  <si>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</si>
  <si>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</si>
  <si>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</si>
  <si>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</si>
  <si>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</si>
  <si>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</si>
  <si>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</si>
  <si>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</si>
  <si>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</si>
  <si>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</si>
  <si>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</si>
  <si>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</si>
  <si>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</si>
  <si>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</si>
  <si>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</si>
  <si>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</si>
  <si>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</si>
  <si>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</si>
  <si>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</si>
  <si>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</si>
  <si>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</si>
  <si>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</si>
  <si>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</si>
  <si>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</si>
  <si>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</si>
  <si>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</si>
  <si>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</si>
  <si>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</si>
  <si>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</si>
  <si>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</si>
  <si>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</si>
  <si>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</si>
  <si>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</si>
  <si>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</si>
  <si>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</si>
  <si>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</si>
  <si>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</si>
  <si>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</si>
  <si>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</si>
  <si>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</si>
  <si>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</si>
  <si>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</si>
  <si>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</si>
  <si>
    <t>Автоматически</t>
  </si>
  <si>
    <t>01 января 2020 г.</t>
  </si>
  <si>
    <t>07 января 2020 г.</t>
  </si>
  <si>
    <t>Номер
документа</t>
  </si>
  <si>
    <t>Дата
составления</t>
  </si>
  <si>
    <t>2088</t>
  </si>
  <si>
    <t>Авто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</si>
</sst>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0.0"/>
    <numFmt numFmtId="171" formatCode="#,##0.0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0" fontId="15" fillId="0" borderId="0"/>
    <xf numFmtId="0" fontId="17" fillId="0" borderId="0"/>
    <xf numFmtId="0" fontId="18" fillId="0" borderId="0"/>
    <xf numFmtId="9" fontId="21" fillId="0" borderId="0" applyFont="0" applyFill="0" applyBorder="0" applyAlignment="0" applyProtection="0"/>
  </cellStyleXfs>
  <cellXfs count="217">
    <xf numFmtId="0" fontId="0" fillId="0" borderId="0" xfId="0"/>
    <xf numFmtId="0" fontId="7" fillId="0" borderId="0" xfId="0" applyFont="1" applyAlignment="1"/>
    <xf numFmtId="0" fontId="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vertical="center"/>
    </xf>
    <xf numFmtId="4" fontId="8" fillId="0" borderId="23" xfId="1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4" fontId="8" fillId="2" borderId="23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7" fillId="0" borderId="26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top" wrapText="1"/>
    </xf>
    <xf numFmtId="0" fontId="7" fillId="0" borderId="0" xfId="0" applyFont="1" applyBorder="1" applyAlignment="1">
      <alignment vertical="center" textRotation="90"/>
    </xf>
    <xf numFmtId="0" fontId="8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20" fillId="0" borderId="0" xfId="3" applyFont="1" applyFill="1" applyAlignment="1">
      <alignment horizontal="left" wrapText="1"/>
    </xf>
    <xf numFmtId="169" fontId="14" fillId="0" borderId="0" xfId="0" applyNumberFormat="1" applyFont="1"/>
    <xf numFmtId="0" fontId="14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4" fillId="0" borderId="0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9" fontId="14" fillId="0" borderId="0" xfId="0" applyNumberFormat="1" applyFont="1" applyBorder="1"/>
    <xf numFmtId="4" fontId="14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0" fontId="14" fillId="0" borderId="0" xfId="0" applyFont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0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4" fillId="0" borderId="29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right"/>
    </xf>
    <xf numFmtId="2" fontId="14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" fontId="24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5" fillId="5" borderId="2" xfId="0" applyNumberFormat="1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7" fillId="0" borderId="0" xfId="0" applyFont="1"/>
    <xf numFmtId="3" fontId="23" fillId="0" borderId="2" xfId="0" applyNumberFormat="1" applyFont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vertical="center" wrapText="1"/>
    </xf>
    <xf numFmtId="0" fontId="5" fillId="0" borderId="0" xfId="0" applyFont="1" applyFill="1" applyBorder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29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horizontal="right" vertical="center" wrapText="1"/>
    </xf>
    <xf numFmtId="14" fontId="29" fillId="0" borderId="0" xfId="0" applyNumberFormat="1" applyFont="1" applyAlignment="1">
      <alignment vertical="center"/>
    </xf>
    <xf numFmtId="0" fontId="29" fillId="0" borderId="0" xfId="0" applyFont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29" fillId="0" borderId="0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2" fontId="29" fillId="0" borderId="27" xfId="0" applyNumberFormat="1" applyFont="1" applyFill="1" applyBorder="1" applyAlignment="1">
      <alignment horizontal="center" vertical="center" wrapText="1"/>
    </xf>
    <xf numFmtId="2" fontId="29" fillId="0" borderId="13" xfId="0" applyNumberFormat="1" applyFont="1" applyFill="1" applyBorder="1" applyAlignment="1">
      <alignment horizontal="center" vertical="center" wrapText="1"/>
    </xf>
    <xf numFmtId="2" fontId="29" fillId="0" borderId="14" xfId="0" applyNumberFormat="1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vertical="center"/>
    </xf>
    <xf numFmtId="0" fontId="30" fillId="0" borderId="0" xfId="0" applyFont="1" applyFill="1" applyAlignment="1">
      <alignment vertical="center"/>
    </xf>
    <xf numFmtId="0" fontId="30" fillId="0" borderId="28" xfId="0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169" fontId="30" fillId="0" borderId="16" xfId="0" applyNumberFormat="1" applyFont="1" applyFill="1" applyBorder="1" applyAlignment="1">
      <alignment horizontal="center"/>
    </xf>
    <xf numFmtId="169" fontId="29" fillId="0" borderId="23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0" xfId="0" applyFill="1" applyBorder="1"/>
    <xf numFmtId="0" fontId="0" fillId="6" borderId="31" xfId="0" applyFill="1" applyBorder="1"/>
    <xf numFmtId="0" fontId="0" fillId="0" borderId="31" xfId="0" applyFill="1" applyBorder="1"/>
    <xf numFmtId="0" fontId="0" fillId="6" borderId="20" xfId="0" applyFill="1" applyBorder="1"/>
    <xf numFmtId="0" fontId="0" fillId="6" borderId="32" xfId="0" applyFill="1" applyBorder="1" applyAlignment="1">
      <alignment horizontal="left"/>
    </xf>
    <xf numFmtId="0" fontId="0" fillId="6" borderId="33" xfId="0" applyFill="1" applyBorder="1" applyAlignment="1">
      <alignment horizontal="left"/>
    </xf>
    <xf numFmtId="0" fontId="0" fillId="0" borderId="33" xfId="0" applyFill="1" applyBorder="1" applyAlignment="1">
      <alignment horizontal="left"/>
    </xf>
    <xf numFmtId="0" fontId="4" fillId="0" borderId="33" xfId="0" applyFont="1" applyFill="1" applyBorder="1" applyAlignment="1">
      <alignment horizontal="left"/>
    </xf>
    <xf numFmtId="3" fontId="0" fillId="6" borderId="33" xfId="0" applyNumberFormat="1" applyFill="1" applyBorder="1" applyAlignment="1">
      <alignment horizontal="left"/>
    </xf>
    <xf numFmtId="0" fontId="0" fillId="6" borderId="34" xfId="0" applyFill="1" applyBorder="1" applyAlignment="1">
      <alignment horizontal="left"/>
    </xf>
    <xf numFmtId="0" fontId="0" fillId="0" borderId="20" xfId="0" applyFill="1" applyBorder="1"/>
    <xf numFmtId="0" fontId="0" fillId="0" borderId="34" xfId="0" applyFill="1" applyBorder="1" applyAlignment="1">
      <alignment horizontal="left"/>
    </xf>
    <xf numFmtId="0" fontId="0" fillId="0" borderId="30" xfId="0" applyFill="1" applyBorder="1"/>
    <xf numFmtId="0" fontId="0" fillId="0" borderId="20" xfId="0" applyFill="1" applyBorder="1" applyAlignment="1">
      <alignment vertical="top" wrapText="1"/>
    </xf>
    <xf numFmtId="3" fontId="3" fillId="0" borderId="33" xfId="0" applyNumberFormat="1" applyFont="1" applyFill="1" applyBorder="1" applyAlignment="1">
      <alignment horizontal="left"/>
    </xf>
    <xf numFmtId="0" fontId="2" fillId="0" borderId="34" xfId="0" applyFont="1" applyFill="1" applyBorder="1" applyAlignment="1">
      <alignment horizontal="left"/>
    </xf>
    <xf numFmtId="171" fontId="3" fillId="0" borderId="32" xfId="0" applyNumberFormat="1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1" fillId="0" borderId="2" xfId="0" applyFont="1" applyBorder="1" applyAlignment="1">
      <alignment horizontal="right" vertical="center"/>
    </xf>
    <xf numFmtId="169" fontId="0" fillId="0" borderId="2" xfId="0" applyNumberFormat="1" applyBorder="1" applyAlignment="1">
      <alignment horizontal="right"/>
    </xf>
    <xf numFmtId="49" fontId="11" fillId="0" borderId="0" xfId="0" applyNumberFormat="1" applyFont="1" applyBorder="1" applyAlignment="1">
      <alignment horizontal="left" vertical="center"/>
    </xf>
    <xf numFmtId="0" fontId="11" fillId="0" borderId="0" xfId="0" applyNumberFormat="1" applyFont="1" applyBorder="1" applyAlignment="1">
      <alignment horizontal="left" vertical="center"/>
    </xf>
    <xf numFmtId="49" fontId="0" fillId="6" borderId="33" xfId="0" applyNumberFormat="1" applyFill="1" applyBorder="1" applyAlignment="1">
      <alignment horizontal="left"/>
    </xf>
    <xf numFmtId="49" fontId="0" fillId="0" borderId="33" xfId="0" applyNumberFormat="1" applyFill="1" applyBorder="1" applyAlignment="1">
      <alignment horizontal="left"/>
    </xf>
    <xf numFmtId="2" fontId="14" fillId="0" borderId="6" xfId="0" applyNumberFormat="1" applyFont="1" applyBorder="1" applyAlignment="1">
      <alignment horizontal="center" vertical="center"/>
    </xf>
    <xf numFmtId="169" fontId="0" fillId="0" borderId="0" xfId="0" applyNumberFormat="1" applyBorder="1" applyAlignment="1">
      <alignment horizontal="center"/>
    </xf>
    <xf numFmtId="2" fontId="14" fillId="0" borderId="6" xfId="0" applyNumberFormat="1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" fontId="7" fillId="0" borderId="3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4" fontId="7" fillId="0" borderId="3" xfId="1" applyNumberFormat="1" applyFont="1" applyBorder="1" applyAlignment="1">
      <alignment horizontal="center" vertical="center" wrapText="1"/>
    </xf>
    <xf numFmtId="4" fontId="7" fillId="0" borderId="4" xfId="1" applyNumberFormat="1" applyFont="1" applyBorder="1" applyAlignment="1">
      <alignment horizontal="center" vertical="center" wrapText="1"/>
    </xf>
    <xf numFmtId="4" fontId="7" fillId="0" borderId="18" xfId="1" applyNumberFormat="1" applyFont="1" applyBorder="1" applyAlignment="1">
      <alignment horizontal="center" vertical="center" wrapText="1"/>
    </xf>
    <xf numFmtId="4" fontId="7" fillId="0" borderId="19" xfId="1" applyNumberFormat="1" applyFont="1" applyBorder="1" applyAlignment="1">
      <alignment horizontal="center" vertical="center" wrapText="1"/>
    </xf>
    <xf numFmtId="0" fontId="8" fillId="0" borderId="20" xfId="0" applyFont="1" applyBorder="1" applyAlignment="1">
      <alignment horizontal="right" vertical="center"/>
    </xf>
    <xf numFmtId="0" fontId="8" fillId="0" borderId="21" xfId="0" applyFont="1" applyBorder="1" applyAlignment="1">
      <alignment horizontal="right" vertical="center"/>
    </xf>
    <xf numFmtId="0" fontId="8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5" fontId="9" fillId="0" borderId="0" xfId="0" applyNumberFormat="1" applyFont="1" applyAlignment="1">
      <alignment horizontal="left" vertical="center" wrapText="1"/>
    </xf>
    <xf numFmtId="1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167" fontId="9" fillId="0" borderId="0" xfId="0" applyNumberFormat="1" applyFont="1" applyAlignment="1">
      <alignment horizontal="left" vertical="center"/>
    </xf>
    <xf numFmtId="1" fontId="7" fillId="0" borderId="3" xfId="0" quotePrefix="1" applyNumberFormat="1" applyFont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49" fontId="9" fillId="0" borderId="0" xfId="0" applyNumberFormat="1" applyFont="1" applyAlignment="1">
      <alignment horizontal="right" vertical="center"/>
    </xf>
    <xf numFmtId="0" fontId="7" fillId="2" borderId="14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center"/>
    </xf>
    <xf numFmtId="0" fontId="8" fillId="2" borderId="21" xfId="0" applyFont="1" applyFill="1" applyBorder="1" applyAlignment="1">
      <alignment horizontal="right" vertical="center"/>
    </xf>
    <xf numFmtId="0" fontId="8" fillId="2" borderId="22" xfId="0" applyFont="1" applyFill="1" applyBorder="1" applyAlignment="1">
      <alignment horizontal="right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68" fontId="9" fillId="0" borderId="0" xfId="0" applyNumberFormat="1" applyFont="1" applyAlignment="1">
      <alignment horizontal="right" vertical="center"/>
    </xf>
    <xf numFmtId="0" fontId="9" fillId="0" borderId="0" xfId="0" applyNumberFormat="1" applyFont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11" fillId="0" borderId="0" xfId="0" applyFont="1" applyAlignment="1">
      <alignment horizontal="left" vertical="top" wrapText="1"/>
    </xf>
    <xf numFmtId="0" fontId="11" fillId="0" borderId="0" xfId="0" applyFont="1" applyBorder="1" applyAlignment="1">
      <alignment horizontal="left" vertical="top" wrapText="1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168" fontId="11" fillId="0" borderId="0" xfId="0" applyNumberFormat="1" applyFont="1" applyBorder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1" fillId="0" borderId="26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7" fillId="0" borderId="25" xfId="0" applyFont="1" applyBorder="1" applyAlignment="1">
      <alignment horizontal="center" vertical="center" textRotation="90"/>
    </xf>
    <xf numFmtId="0" fontId="8" fillId="0" borderId="0" xfId="0" applyFont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textRotation="90" wrapText="1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wrapText="1"/>
    </xf>
    <xf numFmtId="0" fontId="29" fillId="0" borderId="0" xfId="0" applyNumberFormat="1" applyFont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29" fillId="0" borderId="20" xfId="0" applyFont="1" applyFill="1" applyBorder="1" applyAlignment="1">
      <alignment horizontal="right"/>
    </xf>
    <xf numFmtId="0" fontId="29" fillId="0" borderId="21" xfId="0" applyFont="1" applyFill="1" applyBorder="1" applyAlignment="1">
      <alignment horizontal="right"/>
    </xf>
    <xf numFmtId="0" fontId="29" fillId="0" borderId="22" xfId="0" applyFont="1" applyFill="1" applyBorder="1" applyAlignment="1">
      <alignment horizontal="right"/>
    </xf>
    <xf numFmtId="0" fontId="29" fillId="0" borderId="0" xfId="0" applyFont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vertical="center" wrapText="1"/>
    </xf>
    <xf numFmtId="0" fontId="16" fillId="3" borderId="10" xfId="0" applyFont="1" applyFill="1" applyBorder="1" applyAlignment="1">
      <alignment vertical="center"/>
    </xf>
    <xf numFmtId="0" fontId="16" fillId="3" borderId="29" xfId="0" applyFont="1" applyFill="1" applyBorder="1" applyAlignment="1">
      <alignment vertical="center"/>
    </xf>
    <xf numFmtId="0" fontId="24" fillId="5" borderId="2" xfId="0" applyFont="1" applyFill="1" applyBorder="1" applyAlignment="1">
      <alignment vertical="center" wrapText="1"/>
    </xf>
    <xf numFmtId="3" fontId="22" fillId="4" borderId="2" xfId="0" applyNumberFormat="1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vertical="center" wrapText="1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99" customFormat="1" x14ac:dyDescent="0.35">
      <c r="A1" s="101" t="s">
        <v>91</v>
      </c>
      <c r="B1" s="105" t="s">
        <v>84</v>
      </c>
    </row>
    <row r="2" spans="1:13" s="99" customFormat="1" x14ac:dyDescent="0.35">
      <c r="A2" s="102" t="s">
        <v>288</v>
      </c>
      <c r="B2" s="106" t="s">
        <v>82</v>
      </c>
    </row>
    <row r="3" spans="1:13" x14ac:dyDescent="0.35">
      <c r="A3" s="103" t="s">
        <v>285</v>
      </c>
      <c r="B3" s="107" t="str">
        <f>"Договор №"&amp;B2&amp;" от "&amp;TEXT(B4,"[$-ru-RU-x-genlower]ДД ММММ ГГГГ \г\.;@")</f>
        <v>Договор №001-01/20 от 01 января 2020 г.</v>
      </c>
    </row>
    <row r="4" spans="1:13" s="99" customFormat="1" x14ac:dyDescent="0.35">
      <c r="A4" s="102" t="s">
        <v>284</v>
      </c>
      <c r="B4" s="125" t="s">
        <v>316</v>
      </c>
    </row>
    <row r="5" spans="1:13" x14ac:dyDescent="0.35">
      <c r="A5" s="103" t="s">
        <v>39</v>
      </c>
      <c r="B5" s="126" t="s">
        <v>317</v>
      </c>
    </row>
    <row r="6" spans="1:13" s="99" customFormat="1" x14ac:dyDescent="0.35">
      <c r="A6" s="102" t="s">
        <v>81</v>
      </c>
      <c r="B6" s="106" t="s">
        <v>274</v>
      </c>
    </row>
    <row r="7" spans="1:13" x14ac:dyDescent="0.35">
      <c r="A7" s="103" t="s">
        <v>85</v>
      </c>
      <c r="B7" s="107" t="s">
        <v>52</v>
      </c>
    </row>
    <row r="8" spans="1:13" x14ac:dyDescent="0.35">
      <c r="A8" s="103" t="s">
        <v>88</v>
      </c>
      <c r="B8" s="108" t="s">
        <v>97</v>
      </c>
      <c r="D8" s="40"/>
      <c r="E8" s="40"/>
      <c r="F8" s="40"/>
      <c r="G8" s="40"/>
      <c r="H8" s="40"/>
      <c r="I8" s="40"/>
      <c r="J8" s="75"/>
      <c r="K8" s="40"/>
      <c r="L8" s="40"/>
      <c r="M8" s="40"/>
    </row>
    <row r="9" spans="1:13" s="99" customFormat="1" x14ac:dyDescent="0.35">
      <c r="A9" s="102" t="s">
        <v>40</v>
      </c>
      <c r="B9" s="106" t="s">
        <v>99</v>
      </c>
    </row>
    <row r="10" spans="1:13" x14ac:dyDescent="0.35">
      <c r="A10" s="103" t="s">
        <v>87</v>
      </c>
      <c r="B10" s="107" t="s">
        <v>53</v>
      </c>
    </row>
    <row r="11" spans="1:13" x14ac:dyDescent="0.35">
      <c r="A11" s="103" t="s">
        <v>89</v>
      </c>
      <c r="B11" s="107" t="s">
        <v>42</v>
      </c>
    </row>
    <row r="12" spans="1:13" x14ac:dyDescent="0.35">
      <c r="A12" s="103" t="s">
        <v>86</v>
      </c>
      <c r="B12" s="107" t="s">
        <v>43</v>
      </c>
    </row>
    <row r="13" spans="1:13" s="99" customFormat="1" x14ac:dyDescent="0.35">
      <c r="A13" s="102" t="s">
        <v>294</v>
      </c>
      <c r="B13" s="109">
        <v>2500</v>
      </c>
    </row>
    <row r="14" spans="1:13" s="99" customFormat="1" ht="15" thickBot="1" x14ac:dyDescent="0.4">
      <c r="A14" s="104" t="s">
        <v>293</v>
      </c>
      <c r="B14" s="110" t="s">
        <v>292</v>
      </c>
    </row>
    <row r="15" spans="1:13" ht="15" thickBot="1" x14ac:dyDescent="0.4">
      <c r="A15" s="40"/>
      <c r="B15" s="98"/>
    </row>
    <row r="16" spans="1:13" s="99" customFormat="1" x14ac:dyDescent="0.35">
      <c r="A16" s="101" t="s">
        <v>38</v>
      </c>
      <c r="B16" s="105" t="s">
        <v>41</v>
      </c>
      <c r="D16" s="100"/>
    </row>
    <row r="17" spans="1:7" s="99" customFormat="1" x14ac:dyDescent="0.35">
      <c r="A17" s="102" t="s">
        <v>289</v>
      </c>
      <c r="B17" s="106" t="s">
        <v>93</v>
      </c>
    </row>
    <row r="18" spans="1:7" s="99" customFormat="1" x14ac:dyDescent="0.35">
      <c r="A18" s="102" t="s">
        <v>90</v>
      </c>
      <c r="B18" s="106" t="s">
        <v>92</v>
      </c>
    </row>
    <row r="19" spans="1:7" x14ac:dyDescent="0.35">
      <c r="A19" s="103" t="s">
        <v>44</v>
      </c>
      <c r="B19" s="107" t="s">
        <v>94</v>
      </c>
    </row>
    <row r="20" spans="1:7" x14ac:dyDescent="0.35">
      <c r="A20" s="103" t="s">
        <v>45</v>
      </c>
      <c r="B20" s="107" t="s">
        <v>50</v>
      </c>
    </row>
    <row r="21" spans="1:7" x14ac:dyDescent="0.35">
      <c r="A21" s="103" t="s">
        <v>46</v>
      </c>
      <c r="B21" s="107" t="s">
        <v>95</v>
      </c>
    </row>
    <row r="22" spans="1:7" x14ac:dyDescent="0.35">
      <c r="A22" s="103" t="s">
        <v>48</v>
      </c>
      <c r="B22" s="126" t="s">
        <v>320</v>
      </c>
    </row>
    <row r="23" spans="1:7" ht="14.65" customHeight="1" x14ac:dyDescent="0.35">
      <c r="A23" s="103" t="s">
        <v>114</v>
      </c>
      <c r="B23" s="107">
        <v>2498</v>
      </c>
    </row>
    <row r="24" spans="1:7" x14ac:dyDescent="0.35">
      <c r="A24" s="103" t="s">
        <v>83</v>
      </c>
      <c r="B24" s="107" t="s">
        <v>51</v>
      </c>
    </row>
    <row r="25" spans="1:7" x14ac:dyDescent="0.35">
      <c r="A25" s="103" t="s">
        <v>49</v>
      </c>
      <c r="B25" s="107" t="s">
        <v>96</v>
      </c>
    </row>
    <row r="26" spans="1:7" x14ac:dyDescent="0.35">
      <c r="A26" s="103" t="s">
        <v>101</v>
      </c>
      <c r="B26" s="107" t="s">
        <v>100</v>
      </c>
    </row>
    <row r="27" spans="1:7" x14ac:dyDescent="0.35">
      <c r="A27" s="103" t="s">
        <v>286</v>
      </c>
      <c r="B27" s="107" t="s">
        <v>290</v>
      </c>
      <c r="F27" s="40"/>
      <c r="G27" s="40"/>
    </row>
    <row r="28" spans="1:7" x14ac:dyDescent="0.35">
      <c r="A28" s="103" t="s">
        <v>287</v>
      </c>
      <c r="B28" s="107" t="s">
        <v>291</v>
      </c>
      <c r="E28" s="40"/>
    </row>
    <row r="29" spans="1:7" x14ac:dyDescent="0.35">
      <c r="A29" s="103" t="s">
        <v>102</v>
      </c>
      <c r="B29" s="107" t="str">
        <f>B6</f>
        <v>Навальный Алексей «ФБК»</v>
      </c>
    </row>
    <row r="30" spans="1:7" ht="15" thickBot="1" x14ac:dyDescent="0.4">
      <c r="A30" s="111" t="s">
        <v>47</v>
      </c>
      <c r="B30" s="112" t="s">
        <v>98</v>
      </c>
    </row>
    <row r="31" spans="1:7" ht="15" thickBot="1" x14ac:dyDescent="0.4">
      <c r="A31" s="40"/>
      <c r="B31" s="98"/>
    </row>
    <row r="32" spans="1:7" x14ac:dyDescent="0.35">
      <c r="A32" s="113" t="s">
        <v>297</v>
      </c>
      <c r="B32" s="117">
        <v>75</v>
      </c>
    </row>
    <row r="33" spans="1:2" x14ac:dyDescent="0.35">
      <c r="A33" s="103" t="s">
        <v>298</v>
      </c>
      <c r="B33" s="115">
        <v>550</v>
      </c>
    </row>
    <row r="34" spans="1:2" x14ac:dyDescent="0.35">
      <c r="A34" s="103" t="s">
        <v>295</v>
      </c>
      <c r="B34" s="115">
        <v>888880</v>
      </c>
    </row>
    <row r="35" spans="1:2" ht="15" thickBot="1" x14ac:dyDescent="0.4">
      <c r="A35" s="114" t="s">
        <v>296</v>
      </c>
      <c r="B35" s="116" t="s">
        <v>314</v>
      </c>
    </row>
  </sheetData>
  <phoneticPr fontId="33" type="noConversion"/>
  <pageMargins left="0.7" right="0.7" top="0.75" bottom="0.75" header="0.3" footer="0.3"/>
  <pageSetup paperSize="9" orientation="portrait" r:id="rId1"/>
  <ignoredErrors>
    <ignoredError sqref="B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61" t="s">
        <v>299</v>
      </c>
      <c r="B1" s="161"/>
      <c r="C1" s="161"/>
      <c r="D1" s="161"/>
      <c r="E1" s="161"/>
      <c r="F1" s="161"/>
      <c r="G1" s="161"/>
      <c r="H1" s="161"/>
      <c r="I1" s="161"/>
      <c r="J1" s="161"/>
    </row>
    <row r="2" spans="1:10" s="7" customFormat="1" ht="12.75" customHeight="1" x14ac:dyDescent="0.35">
      <c r="A2" s="161"/>
      <c r="B2" s="161"/>
      <c r="C2" s="161"/>
      <c r="D2" s="161"/>
      <c r="E2" s="161"/>
      <c r="F2" s="161"/>
      <c r="G2" s="161"/>
      <c r="H2" s="161"/>
      <c r="I2" s="161"/>
      <c r="J2" s="161"/>
    </row>
    <row r="3" spans="1:10" s="7" customFormat="1" ht="12.75" customHeight="1" x14ac:dyDescent="0.35">
      <c r="A3" s="161"/>
      <c r="B3" s="161"/>
      <c r="C3" s="161"/>
      <c r="D3" s="161"/>
      <c r="E3" s="161"/>
      <c r="F3" s="161"/>
      <c r="G3" s="161"/>
      <c r="H3" s="161"/>
      <c r="I3" s="161"/>
      <c r="J3" s="161"/>
    </row>
    <row r="4" spans="1:10" s="7" customFormat="1" ht="12.75" customHeight="1" x14ac:dyDescent="0.35">
      <c r="A4" s="162" t="s">
        <v>0</v>
      </c>
      <c r="B4" s="162"/>
      <c r="C4" s="162"/>
      <c r="D4" s="165" t="str">
        <f>Дано!B2</f>
        <v>001-01/20</v>
      </c>
      <c r="E4" s="165"/>
      <c r="F4" s="5"/>
      <c r="G4" s="2"/>
      <c r="H4" s="168" t="str">
        <f>Дано!B4</f>
        <v>01 января 2020 г.</v>
      </c>
      <c r="I4" s="164"/>
      <c r="J4" s="164"/>
    </row>
    <row r="5" spans="1:10" s="7" customFormat="1" ht="12.75" customHeight="1" x14ac:dyDescent="0.35">
      <c r="A5" s="162"/>
      <c r="B5" s="162"/>
      <c r="C5" s="162"/>
      <c r="D5" s="165"/>
      <c r="E5" s="165"/>
      <c r="F5" s="5"/>
      <c r="G5" s="2"/>
      <c r="H5" s="164"/>
      <c r="I5" s="164"/>
      <c r="J5" s="16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52" t="s">
        <v>1</v>
      </c>
      <c r="B7" s="152"/>
      <c r="C7" s="154" t="str">
        <f>Дано!B6</f>
        <v>Навальный Алексей «ФБК»</v>
      </c>
      <c r="D7" s="154"/>
      <c r="E7" s="154"/>
      <c r="F7" s="154"/>
      <c r="G7" s="154"/>
      <c r="H7" s="154"/>
      <c r="I7" s="154"/>
      <c r="J7" s="154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52" t="s">
        <v>2</v>
      </c>
      <c r="B9" s="152"/>
      <c r="C9" s="154" t="str">
        <f>Дано!B3</f>
        <v>Договор №001-01/20 от 01 января 2020 г.</v>
      </c>
      <c r="D9" s="154"/>
      <c r="E9" s="154"/>
      <c r="F9" s="154"/>
      <c r="G9" s="154"/>
      <c r="H9" s="154"/>
      <c r="I9" s="154"/>
      <c r="J9" s="154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52" t="s">
        <v>3</v>
      </c>
      <c r="B11" s="152"/>
      <c r="C11" s="155" t="s">
        <v>12</v>
      </c>
      <c r="D11" s="155"/>
      <c r="E11" s="155"/>
      <c r="F11" s="155"/>
      <c r="G11" s="155"/>
      <c r="H11" s="155"/>
      <c r="I11" s="155"/>
      <c r="J11" s="155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56" t="s">
        <v>4</v>
      </c>
      <c r="B13" s="158" t="s">
        <v>5</v>
      </c>
      <c r="C13" s="159" t="s">
        <v>6</v>
      </c>
      <c r="D13" s="159"/>
      <c r="E13" s="159"/>
      <c r="F13" s="159"/>
      <c r="G13" s="159" t="s">
        <v>10</v>
      </c>
      <c r="H13" s="159" t="s">
        <v>9</v>
      </c>
      <c r="I13" s="159" t="s">
        <v>8</v>
      </c>
      <c r="J13" s="131" t="s">
        <v>7</v>
      </c>
    </row>
    <row r="14" spans="1:10" s="7" customFormat="1" ht="12.75" customHeight="1" x14ac:dyDescent="0.35">
      <c r="A14" s="157"/>
      <c r="B14" s="136"/>
      <c r="C14" s="160"/>
      <c r="D14" s="160"/>
      <c r="E14" s="160"/>
      <c r="F14" s="160"/>
      <c r="G14" s="160"/>
      <c r="H14" s="160"/>
      <c r="I14" s="160"/>
      <c r="J14" s="132"/>
    </row>
    <row r="15" spans="1:10" s="7" customFormat="1" ht="12.75" customHeight="1" x14ac:dyDescent="0.35">
      <c r="A15" s="133">
        <v>1</v>
      </c>
      <c r="B15" s="166" t="s">
        <v>18</v>
      </c>
      <c r="C15" s="137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38"/>
      <c r="E15" s="138"/>
      <c r="F15" s="139"/>
      <c r="G15" s="143" t="s">
        <v>276</v>
      </c>
      <c r="H15" s="143">
        <v>1</v>
      </c>
      <c r="I15" s="144">
        <f>Дано!B13</f>
        <v>2500</v>
      </c>
      <c r="J15" s="146">
        <f>I15*H15</f>
        <v>2500</v>
      </c>
    </row>
    <row r="16" spans="1:10" s="7" customFormat="1" ht="12.75" customHeight="1" x14ac:dyDescent="0.35">
      <c r="A16" s="134"/>
      <c r="B16" s="167"/>
      <c r="C16" s="140"/>
      <c r="D16" s="141"/>
      <c r="E16" s="141"/>
      <c r="F16" s="142"/>
      <c r="G16" s="136"/>
      <c r="H16" s="136"/>
      <c r="I16" s="145"/>
      <c r="J16" s="147"/>
    </row>
    <row r="17" spans="1:10" s="7" customFormat="1" ht="12.75" customHeight="1" thickBot="1" x14ac:dyDescent="0.4">
      <c r="A17" s="148" t="s">
        <v>277</v>
      </c>
      <c r="B17" s="149"/>
      <c r="C17" s="149"/>
      <c r="D17" s="149"/>
      <c r="E17" s="149"/>
      <c r="F17" s="149"/>
      <c r="G17" s="149"/>
      <c r="H17" s="149"/>
      <c r="I17" s="150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51" t="s">
        <v>13</v>
      </c>
      <c r="B19" s="151"/>
      <c r="C19" s="151"/>
      <c r="D19" s="151"/>
      <c r="E19" s="151"/>
      <c r="F19" s="151"/>
      <c r="G19" s="151"/>
      <c r="H19" s="151"/>
      <c r="I19" s="151"/>
      <c r="J19" s="151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51" t="s">
        <v>14</v>
      </c>
      <c r="B21" s="151"/>
      <c r="C21" s="151"/>
      <c r="D21" s="151"/>
      <c r="E21" s="151"/>
      <c r="F21" s="151"/>
      <c r="G21" s="151"/>
      <c r="H21" s="151"/>
      <c r="I21" s="151"/>
      <c r="J21" s="151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52" t="s">
        <v>15</v>
      </c>
      <c r="B23" s="152"/>
      <c r="C23" s="153" t="str">
        <f>Дано!B14&amp;" сом, 00 тыйын"</f>
        <v>Две тысячи пятьсот сом, 00 тыйын</v>
      </c>
      <c r="D23" s="153"/>
      <c r="E23" s="153"/>
      <c r="F23" s="153"/>
      <c r="G23" s="153"/>
      <c r="H23" s="153"/>
      <c r="I23" s="153"/>
      <c r="J23" s="153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30" t="s">
        <v>17</v>
      </c>
      <c r="D26" s="130"/>
      <c r="E26" s="130"/>
      <c r="F26" s="130"/>
      <c r="G26" s="130"/>
      <c r="H26" s="130"/>
      <c r="I26" s="130"/>
      <c r="J26" s="130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77"/>
      <c r="C32" s="76"/>
      <c r="D32" s="76"/>
      <c r="E32" s="76"/>
      <c r="F32" s="76"/>
      <c r="G32" s="76"/>
      <c r="H32" s="76"/>
      <c r="I32" s="76"/>
      <c r="J32" s="76"/>
    </row>
    <row r="33" spans="1:10" s="7" customFormat="1" x14ac:dyDescent="0.35">
      <c r="B33" s="77"/>
      <c r="C33" s="76"/>
      <c r="D33" s="76"/>
      <c r="E33" s="76"/>
      <c r="F33" s="76"/>
      <c r="G33" s="76"/>
      <c r="H33" s="76"/>
      <c r="I33" s="76"/>
      <c r="J33" s="76"/>
    </row>
    <row r="34" spans="1:10" s="7" customFormat="1" x14ac:dyDescent="0.35">
      <c r="B34" s="77"/>
      <c r="C34" s="76"/>
      <c r="D34" s="76"/>
      <c r="E34" s="76"/>
      <c r="F34" s="76"/>
      <c r="G34" s="76"/>
      <c r="H34" s="76"/>
      <c r="I34" s="76"/>
      <c r="J34" s="76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77"/>
      <c r="C36" s="76"/>
      <c r="D36" s="76"/>
      <c r="E36" s="76"/>
      <c r="F36" s="76"/>
      <c r="G36" s="76"/>
      <c r="H36" s="76"/>
      <c r="I36" s="76"/>
      <c r="J36" s="76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61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61"/>
      <c r="C38" s="161"/>
      <c r="D38" s="161"/>
      <c r="E38" s="161"/>
      <c r="F38" s="161"/>
      <c r="G38" s="161"/>
      <c r="H38" s="161"/>
      <c r="I38" s="161"/>
      <c r="J38" s="161"/>
    </row>
    <row r="39" spans="1:10" s="7" customFormat="1" ht="12.75" customHeight="1" x14ac:dyDescent="0.35">
      <c r="A39" s="161"/>
      <c r="B39" s="161"/>
      <c r="C39" s="161"/>
      <c r="D39" s="161"/>
      <c r="E39" s="161"/>
      <c r="F39" s="161"/>
      <c r="G39" s="161"/>
      <c r="H39" s="161"/>
      <c r="I39" s="161"/>
      <c r="J39" s="161"/>
    </row>
    <row r="40" spans="1:10" s="7" customFormat="1" ht="12.75" customHeight="1" x14ac:dyDescent="0.35">
      <c r="A40" s="161"/>
      <c r="B40" s="161"/>
      <c r="C40" s="161"/>
      <c r="D40" s="161"/>
      <c r="E40" s="161"/>
      <c r="F40" s="161"/>
      <c r="G40" s="161"/>
      <c r="H40" s="161"/>
      <c r="I40" s="161"/>
      <c r="J40" s="161"/>
    </row>
    <row r="41" spans="1:10" s="7" customFormat="1" ht="12.75" customHeight="1" x14ac:dyDescent="0.35">
      <c r="A41" s="162" t="s">
        <v>0</v>
      </c>
      <c r="B41" s="162"/>
      <c r="C41" s="162"/>
      <c r="D41" s="165" t="str">
        <f>D4</f>
        <v>001-01/20</v>
      </c>
      <c r="E41" s="165"/>
      <c r="F41" s="5"/>
      <c r="G41" s="2"/>
      <c r="H41" s="163" t="str">
        <f>H4</f>
        <v>01 января 2020 г.</v>
      </c>
      <c r="I41" s="164"/>
      <c r="J41" s="164"/>
    </row>
    <row r="42" spans="1:10" s="7" customFormat="1" ht="12.75" customHeight="1" x14ac:dyDescent="0.35">
      <c r="A42" s="162"/>
      <c r="B42" s="162"/>
      <c r="C42" s="162"/>
      <c r="D42" s="165"/>
      <c r="E42" s="165"/>
      <c r="F42" s="5"/>
      <c r="G42" s="2"/>
      <c r="H42" s="164"/>
      <c r="I42" s="164"/>
      <c r="J42" s="16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52" t="s">
        <v>1</v>
      </c>
      <c r="B44" s="152"/>
      <c r="C44" s="154" t="str">
        <f>C7</f>
        <v>Навальный Алексей «ФБК»</v>
      </c>
      <c r="D44" s="154"/>
      <c r="E44" s="154"/>
      <c r="F44" s="154"/>
      <c r="G44" s="154"/>
      <c r="H44" s="154"/>
      <c r="I44" s="154"/>
      <c r="J44" s="154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52" t="s">
        <v>2</v>
      </c>
      <c r="B46" s="152"/>
      <c r="C46" s="154" t="str">
        <f>C9</f>
        <v>Договор №001-01/20 от 01 января 2020 г.</v>
      </c>
      <c r="D46" s="154"/>
      <c r="E46" s="154"/>
      <c r="F46" s="154"/>
      <c r="G46" s="154"/>
      <c r="H46" s="154"/>
      <c r="I46" s="154"/>
      <c r="J46" s="154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52" t="s">
        <v>3</v>
      </c>
      <c r="B48" s="152"/>
      <c r="C48" s="155" t="str">
        <f>C11</f>
        <v>____________________________________</v>
      </c>
      <c r="D48" s="155"/>
      <c r="E48" s="155"/>
      <c r="F48" s="155"/>
      <c r="G48" s="155"/>
      <c r="H48" s="155"/>
      <c r="I48" s="155"/>
      <c r="J48" s="155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56" t="s">
        <v>4</v>
      </c>
      <c r="B50" s="158" t="s">
        <v>5</v>
      </c>
      <c r="C50" s="159" t="s">
        <v>6</v>
      </c>
      <c r="D50" s="159"/>
      <c r="E50" s="159"/>
      <c r="F50" s="159"/>
      <c r="G50" s="159" t="s">
        <v>10</v>
      </c>
      <c r="H50" s="159" t="s">
        <v>9</v>
      </c>
      <c r="I50" s="159" t="s">
        <v>8</v>
      </c>
      <c r="J50" s="131" t="s">
        <v>7</v>
      </c>
    </row>
    <row r="51" spans="1:10" s="7" customFormat="1" ht="12.75" customHeight="1" x14ac:dyDescent="0.35">
      <c r="A51" s="157"/>
      <c r="B51" s="136"/>
      <c r="C51" s="160"/>
      <c r="D51" s="160"/>
      <c r="E51" s="160"/>
      <c r="F51" s="160"/>
      <c r="G51" s="160"/>
      <c r="H51" s="160"/>
      <c r="I51" s="160"/>
      <c r="J51" s="132"/>
    </row>
    <row r="52" spans="1:10" s="7" customFormat="1" ht="12.75" customHeight="1" x14ac:dyDescent="0.35">
      <c r="A52" s="133">
        <v>1</v>
      </c>
      <c r="B52" s="135" t="str">
        <f>B15</f>
        <v>00001</v>
      </c>
      <c r="C52" s="137" t="str">
        <f>C15</f>
        <v>Экспертиза и оценка: Транспортное средство Subaru Outback, 08KG848ААА</v>
      </c>
      <c r="D52" s="138"/>
      <c r="E52" s="138"/>
      <c r="F52" s="139"/>
      <c r="G52" s="143" t="str">
        <f>G15</f>
        <v>шт.</v>
      </c>
      <c r="H52" s="143">
        <f>H15</f>
        <v>1</v>
      </c>
      <c r="I52" s="144">
        <f>I15</f>
        <v>2500</v>
      </c>
      <c r="J52" s="146">
        <f>I52*H52</f>
        <v>2500</v>
      </c>
    </row>
    <row r="53" spans="1:10" s="7" customFormat="1" ht="12.75" customHeight="1" x14ac:dyDescent="0.35">
      <c r="A53" s="134"/>
      <c r="B53" s="136"/>
      <c r="C53" s="140"/>
      <c r="D53" s="141"/>
      <c r="E53" s="141"/>
      <c r="F53" s="142"/>
      <c r="G53" s="136"/>
      <c r="H53" s="136"/>
      <c r="I53" s="145"/>
      <c r="J53" s="147"/>
    </row>
    <row r="54" spans="1:10" s="7" customFormat="1" ht="12.75" customHeight="1" thickBot="1" x14ac:dyDescent="0.4">
      <c r="A54" s="148" t="s">
        <v>277</v>
      </c>
      <c r="B54" s="149"/>
      <c r="C54" s="149"/>
      <c r="D54" s="149"/>
      <c r="E54" s="149"/>
      <c r="F54" s="149"/>
      <c r="G54" s="149"/>
      <c r="H54" s="149"/>
      <c r="I54" s="150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51" t="s">
        <v>13</v>
      </c>
      <c r="B56" s="151"/>
      <c r="C56" s="151"/>
      <c r="D56" s="151"/>
      <c r="E56" s="151"/>
      <c r="F56" s="151"/>
      <c r="G56" s="151"/>
      <c r="H56" s="151"/>
      <c r="I56" s="151"/>
      <c r="J56" s="151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51" t="s">
        <v>14</v>
      </c>
      <c r="B58" s="151"/>
      <c r="C58" s="151"/>
      <c r="D58" s="151"/>
      <c r="E58" s="151"/>
      <c r="F58" s="151"/>
      <c r="G58" s="151"/>
      <c r="H58" s="151"/>
      <c r="I58" s="151"/>
      <c r="J58" s="151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52" t="s">
        <v>15</v>
      </c>
      <c r="B60" s="152"/>
      <c r="C60" s="153" t="str">
        <f>C23</f>
        <v>Две тысячи пятьсот сом, 00 тыйын</v>
      </c>
      <c r="D60" s="153"/>
      <c r="E60" s="153"/>
      <c r="F60" s="153"/>
      <c r="G60" s="153"/>
      <c r="H60" s="153"/>
      <c r="I60" s="153"/>
      <c r="J60" s="153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30" t="s">
        <v>17</v>
      </c>
      <c r="D63" s="130"/>
      <c r="E63" s="130"/>
      <c r="F63" s="130"/>
      <c r="G63" s="130"/>
      <c r="H63" s="130"/>
      <c r="I63" s="130"/>
      <c r="J63" s="130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A1:J3"/>
    <mergeCell ref="A4:C5"/>
    <mergeCell ref="A13:A14"/>
    <mergeCell ref="A7:B7"/>
    <mergeCell ref="A9:B9"/>
    <mergeCell ref="A11:B11"/>
    <mergeCell ref="B13:B14"/>
    <mergeCell ref="H4:J5"/>
    <mergeCell ref="D4:E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H41:J42"/>
    <mergeCell ref="A44:B44"/>
    <mergeCell ref="C44:J44"/>
    <mergeCell ref="D41:E42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61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61"/>
      <c r="C1" s="161"/>
      <c r="D1" s="161"/>
      <c r="E1" s="161"/>
      <c r="F1" s="161"/>
      <c r="G1" s="161"/>
      <c r="H1" s="161"/>
      <c r="I1" s="161"/>
      <c r="J1" s="161"/>
    </row>
    <row r="2" spans="1:10" s="7" customFormat="1" ht="12.75" customHeight="1" x14ac:dyDescent="0.35">
      <c r="A2" s="161"/>
      <c r="B2" s="161"/>
      <c r="C2" s="161"/>
      <c r="D2" s="161"/>
      <c r="E2" s="161"/>
      <c r="F2" s="161"/>
      <c r="G2" s="161"/>
      <c r="H2" s="161"/>
      <c r="I2" s="161"/>
      <c r="J2" s="161"/>
    </row>
    <row r="3" spans="1:10" s="7" customFormat="1" ht="12.75" customHeight="1" x14ac:dyDescent="0.35">
      <c r="A3" s="161"/>
      <c r="B3" s="161"/>
      <c r="C3" s="161"/>
      <c r="D3" s="161"/>
      <c r="E3" s="161"/>
      <c r="F3" s="161"/>
      <c r="G3" s="161"/>
      <c r="H3" s="161"/>
      <c r="I3" s="161"/>
      <c r="J3" s="161"/>
    </row>
    <row r="4" spans="1:10" s="7" customFormat="1" ht="12.75" customHeight="1" x14ac:dyDescent="0.35">
      <c r="A4" s="162" t="s">
        <v>19</v>
      </c>
      <c r="B4" s="162"/>
      <c r="C4" s="162"/>
      <c r="D4" s="181" t="str">
        <f>счёт!D4</f>
        <v>001-01/20</v>
      </c>
      <c r="E4" s="181"/>
      <c r="F4" s="5"/>
      <c r="G4" s="2"/>
      <c r="H4" s="180" t="str">
        <f>счёт!H4</f>
        <v>01 января 2020 г.</v>
      </c>
      <c r="I4" s="180"/>
      <c r="J4" s="180"/>
    </row>
    <row r="5" spans="1:10" s="7" customFormat="1" ht="12.75" customHeight="1" x14ac:dyDescent="0.35">
      <c r="A5" s="162"/>
      <c r="B5" s="162"/>
      <c r="C5" s="162"/>
      <c r="D5" s="181"/>
      <c r="E5" s="181"/>
      <c r="F5" s="5"/>
      <c r="G5" s="2"/>
      <c r="H5" s="180"/>
      <c r="I5" s="180"/>
      <c r="J5" s="180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52" t="s">
        <v>1</v>
      </c>
      <c r="B7" s="152"/>
      <c r="C7" s="154" t="str">
        <f>счёт!C7</f>
        <v>Навальный Алексей «ФБК»</v>
      </c>
      <c r="D7" s="154"/>
      <c r="E7" s="154"/>
      <c r="F7" s="154"/>
      <c r="G7" s="154"/>
      <c r="H7" s="154"/>
      <c r="I7" s="154"/>
      <c r="J7" s="154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52" t="s">
        <v>2</v>
      </c>
      <c r="B9" s="152"/>
      <c r="C9" s="154" t="str">
        <f>счёт!C9</f>
        <v>Договор №001-01/20 от 01 января 2020 г.</v>
      </c>
      <c r="D9" s="154"/>
      <c r="E9" s="154"/>
      <c r="F9" s="154"/>
      <c r="G9" s="154"/>
      <c r="H9" s="154"/>
      <c r="I9" s="154"/>
      <c r="J9" s="154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52" t="s">
        <v>3</v>
      </c>
      <c r="B11" s="152"/>
      <c r="C11" s="155" t="s">
        <v>12</v>
      </c>
      <c r="D11" s="155"/>
      <c r="E11" s="155"/>
      <c r="F11" s="155"/>
      <c r="G11" s="155"/>
      <c r="H11" s="155"/>
      <c r="I11" s="155"/>
      <c r="J11" s="155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74" t="s">
        <v>4</v>
      </c>
      <c r="B13" s="176" t="s">
        <v>5</v>
      </c>
      <c r="C13" s="178" t="s">
        <v>6</v>
      </c>
      <c r="D13" s="178"/>
      <c r="E13" s="178"/>
      <c r="F13" s="178"/>
      <c r="G13" s="178" t="s">
        <v>10</v>
      </c>
      <c r="H13" s="178" t="s">
        <v>9</v>
      </c>
      <c r="I13" s="178" t="s">
        <v>8</v>
      </c>
      <c r="J13" s="169" t="s">
        <v>7</v>
      </c>
    </row>
    <row r="14" spans="1:10" s="7" customFormat="1" ht="12.75" customHeight="1" x14ac:dyDescent="0.35">
      <c r="A14" s="175"/>
      <c r="B14" s="177"/>
      <c r="C14" s="179"/>
      <c r="D14" s="179"/>
      <c r="E14" s="179"/>
      <c r="F14" s="179"/>
      <c r="G14" s="179"/>
      <c r="H14" s="179"/>
      <c r="I14" s="179"/>
      <c r="J14" s="170"/>
    </row>
    <row r="15" spans="1:10" s="7" customFormat="1" ht="12.75" customHeight="1" x14ac:dyDescent="0.35">
      <c r="A15" s="133">
        <v>1</v>
      </c>
      <c r="B15" s="166" t="str">
        <f>счёт!B15:B16</f>
        <v>00001</v>
      </c>
      <c r="C15" s="137" t="str">
        <f>счёт!C15</f>
        <v>Экспертиза и оценка: Транспортное средство Subaru Outback, 08KG848ААА</v>
      </c>
      <c r="D15" s="138"/>
      <c r="E15" s="138"/>
      <c r="F15" s="139"/>
      <c r="G15" s="143" t="s">
        <v>276</v>
      </c>
      <c r="H15" s="143">
        <f>счёт!H15</f>
        <v>1</v>
      </c>
      <c r="I15" s="144">
        <f>счёт!I15</f>
        <v>2500</v>
      </c>
      <c r="J15" s="146">
        <f>I15*H15</f>
        <v>2500</v>
      </c>
    </row>
    <row r="16" spans="1:10" s="7" customFormat="1" ht="12.75" customHeight="1" x14ac:dyDescent="0.35">
      <c r="A16" s="134"/>
      <c r="B16" s="167"/>
      <c r="C16" s="140"/>
      <c r="D16" s="141"/>
      <c r="E16" s="141"/>
      <c r="F16" s="142"/>
      <c r="G16" s="136"/>
      <c r="H16" s="136"/>
      <c r="I16" s="145"/>
      <c r="J16" s="147"/>
    </row>
    <row r="17" spans="1:10" s="7" customFormat="1" ht="12.75" customHeight="1" thickBot="1" x14ac:dyDescent="0.4">
      <c r="A17" s="171" t="s">
        <v>277</v>
      </c>
      <c r="B17" s="172"/>
      <c r="C17" s="172"/>
      <c r="D17" s="172"/>
      <c r="E17" s="172"/>
      <c r="F17" s="172"/>
      <c r="G17" s="172"/>
      <c r="H17" s="172"/>
      <c r="I17" s="173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51" t="s">
        <v>13</v>
      </c>
      <c r="B19" s="151"/>
      <c r="C19" s="151"/>
      <c r="D19" s="151"/>
      <c r="E19" s="151"/>
      <c r="F19" s="151"/>
      <c r="G19" s="151"/>
      <c r="H19" s="151"/>
      <c r="I19" s="151"/>
      <c r="J19" s="151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51" t="s">
        <v>14</v>
      </c>
      <c r="B21" s="151"/>
      <c r="C21" s="151"/>
      <c r="D21" s="151"/>
      <c r="E21" s="151"/>
      <c r="F21" s="151"/>
      <c r="G21" s="151"/>
      <c r="H21" s="151"/>
      <c r="I21" s="151"/>
      <c r="J21" s="151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52" t="s">
        <v>15</v>
      </c>
      <c r="B23" s="152"/>
      <c r="C23" s="153" t="str">
        <f>счёт!C23</f>
        <v>Две тысячи пятьсот сом, 00 тыйын</v>
      </c>
      <c r="D23" s="153"/>
      <c r="E23" s="153"/>
      <c r="F23" s="153"/>
      <c r="G23" s="153"/>
      <c r="H23" s="153"/>
      <c r="I23" s="153"/>
      <c r="J23" s="153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30" t="s">
        <v>17</v>
      </c>
      <c r="D26" s="130"/>
      <c r="E26" s="130"/>
      <c r="F26" s="130"/>
      <c r="G26" s="130"/>
      <c r="H26" s="130"/>
      <c r="I26" s="130"/>
      <c r="J26" s="130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61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61"/>
      <c r="C38" s="161"/>
      <c r="D38" s="161"/>
      <c r="E38" s="161"/>
      <c r="F38" s="161"/>
      <c r="G38" s="161"/>
      <c r="H38" s="161"/>
      <c r="I38" s="161"/>
      <c r="J38" s="161"/>
    </row>
    <row r="39" spans="1:10" s="7" customFormat="1" ht="12.75" customHeight="1" x14ac:dyDescent="0.35">
      <c r="A39" s="161"/>
      <c r="B39" s="161"/>
      <c r="C39" s="161"/>
      <c r="D39" s="161"/>
      <c r="E39" s="161"/>
      <c r="F39" s="161"/>
      <c r="G39" s="161"/>
      <c r="H39" s="161"/>
      <c r="I39" s="161"/>
      <c r="J39" s="161"/>
    </row>
    <row r="40" spans="1:10" s="7" customFormat="1" ht="12.75" customHeight="1" x14ac:dyDescent="0.35">
      <c r="A40" s="161"/>
      <c r="B40" s="161"/>
      <c r="C40" s="161"/>
      <c r="D40" s="161"/>
      <c r="E40" s="161"/>
      <c r="F40" s="161"/>
      <c r="G40" s="161"/>
      <c r="H40" s="161"/>
      <c r="I40" s="161"/>
      <c r="J40" s="161"/>
    </row>
    <row r="41" spans="1:10" s="7" customFormat="1" ht="12.75" customHeight="1" x14ac:dyDescent="0.35">
      <c r="A41" s="162" t="s">
        <v>19</v>
      </c>
      <c r="B41" s="162"/>
      <c r="C41" s="162"/>
      <c r="D41" s="165" t="str">
        <f>D4</f>
        <v>001-01/20</v>
      </c>
      <c r="E41" s="165"/>
      <c r="F41" s="5"/>
      <c r="G41" s="2"/>
      <c r="H41" s="180" t="str">
        <f>H4</f>
        <v>01 января 2020 г.</v>
      </c>
      <c r="I41" s="180"/>
      <c r="J41" s="180"/>
    </row>
    <row r="42" spans="1:10" s="7" customFormat="1" ht="12.75" customHeight="1" x14ac:dyDescent="0.35">
      <c r="A42" s="162"/>
      <c r="B42" s="162"/>
      <c r="C42" s="162"/>
      <c r="D42" s="165"/>
      <c r="E42" s="165"/>
      <c r="F42" s="5"/>
      <c r="G42" s="2"/>
      <c r="H42" s="180"/>
      <c r="I42" s="180"/>
      <c r="J42" s="180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52" t="s">
        <v>1</v>
      </c>
      <c r="B44" s="152"/>
      <c r="C44" s="154" t="str">
        <f>C7</f>
        <v>Навальный Алексей «ФБК»</v>
      </c>
      <c r="D44" s="154"/>
      <c r="E44" s="154"/>
      <c r="F44" s="154"/>
      <c r="G44" s="154"/>
      <c r="H44" s="154"/>
      <c r="I44" s="154"/>
      <c r="J44" s="154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52" t="s">
        <v>2</v>
      </c>
      <c r="B46" s="152"/>
      <c r="C46" s="154" t="str">
        <f>C9</f>
        <v>Договор №001-01/20 от 01 января 2020 г.</v>
      </c>
      <c r="D46" s="154"/>
      <c r="E46" s="154"/>
      <c r="F46" s="154"/>
      <c r="G46" s="154"/>
      <c r="H46" s="154"/>
      <c r="I46" s="154"/>
      <c r="J46" s="154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52" t="s">
        <v>3</v>
      </c>
      <c r="B48" s="152"/>
      <c r="C48" s="155" t="str">
        <f>C11</f>
        <v>____________________________________</v>
      </c>
      <c r="D48" s="155"/>
      <c r="E48" s="155"/>
      <c r="F48" s="155"/>
      <c r="G48" s="155"/>
      <c r="H48" s="155"/>
      <c r="I48" s="155"/>
      <c r="J48" s="155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74" t="s">
        <v>4</v>
      </c>
      <c r="B50" s="176" t="s">
        <v>5</v>
      </c>
      <c r="C50" s="178" t="s">
        <v>6</v>
      </c>
      <c r="D50" s="178"/>
      <c r="E50" s="178"/>
      <c r="F50" s="178"/>
      <c r="G50" s="178" t="s">
        <v>10</v>
      </c>
      <c r="H50" s="178" t="s">
        <v>9</v>
      </c>
      <c r="I50" s="178" t="s">
        <v>8</v>
      </c>
      <c r="J50" s="169" t="s">
        <v>7</v>
      </c>
    </row>
    <row r="51" spans="1:10" s="7" customFormat="1" ht="12.75" customHeight="1" x14ac:dyDescent="0.35">
      <c r="A51" s="175"/>
      <c r="B51" s="177"/>
      <c r="C51" s="179"/>
      <c r="D51" s="179"/>
      <c r="E51" s="179"/>
      <c r="F51" s="179"/>
      <c r="G51" s="179"/>
      <c r="H51" s="179"/>
      <c r="I51" s="179"/>
      <c r="J51" s="170"/>
    </row>
    <row r="52" spans="1:10" s="7" customFormat="1" ht="12.75" customHeight="1" x14ac:dyDescent="0.35">
      <c r="A52" s="133">
        <v>1</v>
      </c>
      <c r="B52" s="135" t="str">
        <f>B15</f>
        <v>00001</v>
      </c>
      <c r="C52" s="137" t="str">
        <f>C15</f>
        <v>Экспертиза и оценка: Транспортное средство Subaru Outback, 08KG848ААА</v>
      </c>
      <c r="D52" s="138"/>
      <c r="E52" s="138"/>
      <c r="F52" s="139"/>
      <c r="G52" s="143" t="str">
        <f>G15</f>
        <v>шт.</v>
      </c>
      <c r="H52" s="143">
        <f>H15</f>
        <v>1</v>
      </c>
      <c r="I52" s="144">
        <f>I15</f>
        <v>2500</v>
      </c>
      <c r="J52" s="146">
        <f>I52*H52</f>
        <v>2500</v>
      </c>
    </row>
    <row r="53" spans="1:10" s="7" customFormat="1" ht="12.75" customHeight="1" x14ac:dyDescent="0.35">
      <c r="A53" s="134"/>
      <c r="B53" s="136"/>
      <c r="C53" s="140"/>
      <c r="D53" s="141"/>
      <c r="E53" s="141"/>
      <c r="F53" s="142"/>
      <c r="G53" s="136"/>
      <c r="H53" s="136"/>
      <c r="I53" s="145"/>
      <c r="J53" s="147"/>
    </row>
    <row r="54" spans="1:10" s="7" customFormat="1" ht="12.75" customHeight="1" thickBot="1" x14ac:dyDescent="0.4">
      <c r="A54" s="171" t="s">
        <v>277</v>
      </c>
      <c r="B54" s="172"/>
      <c r="C54" s="172"/>
      <c r="D54" s="172"/>
      <c r="E54" s="172"/>
      <c r="F54" s="172"/>
      <c r="G54" s="172"/>
      <c r="H54" s="172"/>
      <c r="I54" s="173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51" t="s">
        <v>13</v>
      </c>
      <c r="B56" s="151"/>
      <c r="C56" s="151"/>
      <c r="D56" s="151"/>
      <c r="E56" s="151"/>
      <c r="F56" s="151"/>
      <c r="G56" s="151"/>
      <c r="H56" s="151"/>
      <c r="I56" s="151"/>
      <c r="J56" s="151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51" t="s">
        <v>14</v>
      </c>
      <c r="B58" s="151"/>
      <c r="C58" s="151"/>
      <c r="D58" s="151"/>
      <c r="E58" s="151"/>
      <c r="F58" s="151"/>
      <c r="G58" s="151"/>
      <c r="H58" s="151"/>
      <c r="I58" s="151"/>
      <c r="J58" s="151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52" t="s">
        <v>15</v>
      </c>
      <c r="B60" s="152"/>
      <c r="C60" s="153" t="str">
        <f>C23</f>
        <v>Две тысячи пятьсот сом, 00 тыйын</v>
      </c>
      <c r="D60" s="153"/>
      <c r="E60" s="153"/>
      <c r="F60" s="153"/>
      <c r="G60" s="153"/>
      <c r="H60" s="153"/>
      <c r="I60" s="153"/>
      <c r="J60" s="153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30" t="s">
        <v>17</v>
      </c>
      <c r="D63" s="130"/>
      <c r="E63" s="130"/>
      <c r="F63" s="130"/>
      <c r="G63" s="130"/>
      <c r="H63" s="130"/>
      <c r="I63" s="130"/>
      <c r="J63" s="130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H4:J5"/>
    <mergeCell ref="A7:B7"/>
    <mergeCell ref="C7:J7"/>
    <mergeCell ref="D4:E5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H41:J42"/>
    <mergeCell ref="A44:B44"/>
    <mergeCell ref="C44:J44"/>
    <mergeCell ref="D41:E42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L23" sqref="L23:O23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97" t="s">
        <v>20</v>
      </c>
      <c r="B1" s="197"/>
      <c r="C1" s="197"/>
      <c r="D1" s="197"/>
      <c r="E1" s="197"/>
      <c r="F1" s="197"/>
      <c r="H1" s="199" t="s">
        <v>23</v>
      </c>
      <c r="I1" s="199"/>
      <c r="J1" s="22"/>
      <c r="K1" s="193" t="s">
        <v>37</v>
      </c>
      <c r="L1" s="197" t="s">
        <v>20</v>
      </c>
      <c r="M1" s="197"/>
      <c r="N1" s="197"/>
      <c r="O1" s="197"/>
    </row>
    <row r="2" spans="1:15" ht="12.75" customHeight="1" x14ac:dyDescent="0.35">
      <c r="A2" s="198" t="s">
        <v>21</v>
      </c>
      <c r="B2" s="198"/>
      <c r="C2" s="198"/>
      <c r="D2" s="198"/>
      <c r="E2" s="198"/>
      <c r="F2" s="198"/>
      <c r="H2" s="201"/>
      <c r="I2" s="201"/>
      <c r="J2" s="23"/>
      <c r="K2" s="193"/>
      <c r="L2" s="198" t="s">
        <v>21</v>
      </c>
      <c r="M2" s="198"/>
      <c r="N2" s="198"/>
      <c r="O2" s="198"/>
    </row>
    <row r="3" spans="1:15" ht="12.75" customHeight="1" x14ac:dyDescent="0.35">
      <c r="H3" s="201" t="s">
        <v>30</v>
      </c>
      <c r="I3" s="201"/>
      <c r="J3" s="23"/>
      <c r="K3" s="193"/>
    </row>
    <row r="4" spans="1:15" ht="12.75" customHeight="1" x14ac:dyDescent="0.35">
      <c r="H4" s="187"/>
      <c r="I4" s="200"/>
      <c r="J4" s="24"/>
      <c r="K4" s="193"/>
      <c r="L4" s="194" t="s">
        <v>27</v>
      </c>
      <c r="M4" s="194"/>
      <c r="N4" s="194"/>
      <c r="O4" s="194"/>
    </row>
    <row r="5" spans="1:15" ht="12.75" customHeight="1" x14ac:dyDescent="0.35">
      <c r="A5" s="194" t="s">
        <v>22</v>
      </c>
      <c r="B5" s="194"/>
      <c r="C5" s="194"/>
      <c r="D5" s="194"/>
      <c r="E5" s="194"/>
      <c r="F5" s="194"/>
      <c r="K5" s="193"/>
      <c r="L5" s="194" t="s">
        <v>28</v>
      </c>
      <c r="M5" s="194"/>
      <c r="N5" s="194"/>
      <c r="O5" s="194"/>
    </row>
    <row r="6" spans="1:15" ht="12.75" customHeight="1" x14ac:dyDescent="0.35">
      <c r="A6" s="196" t="s">
        <v>318</v>
      </c>
      <c r="B6" s="196" t="s">
        <v>319</v>
      </c>
      <c r="C6" s="196"/>
      <c r="D6" s="196"/>
      <c r="E6" s="196" t="s">
        <v>29</v>
      </c>
      <c r="F6" s="196" t="s">
        <v>24</v>
      </c>
      <c r="G6" s="196" t="s">
        <v>25</v>
      </c>
      <c r="H6" s="196" t="s">
        <v>26</v>
      </c>
      <c r="I6" s="187"/>
      <c r="J6" s="14"/>
      <c r="K6" s="193"/>
      <c r="L6" s="21" t="s">
        <v>4</v>
      </c>
      <c r="M6" s="123" t="str">
        <f>A11</f>
        <v>001-01/20</v>
      </c>
      <c r="N6" s="124"/>
    </row>
    <row r="7" spans="1:15" ht="12.75" customHeight="1" x14ac:dyDescent="0.35">
      <c r="A7" s="196"/>
      <c r="B7" s="196"/>
      <c r="C7" s="196"/>
      <c r="D7" s="196"/>
      <c r="E7" s="196"/>
      <c r="F7" s="196"/>
      <c r="G7" s="196"/>
      <c r="H7" s="196"/>
      <c r="I7" s="187"/>
      <c r="J7" s="14"/>
      <c r="K7" s="193"/>
      <c r="O7" s="20"/>
    </row>
    <row r="8" spans="1:15" ht="12.75" customHeight="1" x14ac:dyDescent="0.35">
      <c r="A8" s="196"/>
      <c r="B8" s="196"/>
      <c r="C8" s="196"/>
      <c r="D8" s="196"/>
      <c r="E8" s="196"/>
      <c r="F8" s="196"/>
      <c r="G8" s="196"/>
      <c r="H8" s="196"/>
      <c r="I8" s="187"/>
      <c r="J8" s="14"/>
      <c r="K8" s="193"/>
      <c r="L8" s="182" t="s">
        <v>31</v>
      </c>
      <c r="M8" s="182"/>
      <c r="N8" s="130"/>
      <c r="O8" s="130"/>
    </row>
    <row r="9" spans="1:15" ht="12.75" customHeight="1" x14ac:dyDescent="0.35">
      <c r="A9" s="196"/>
      <c r="B9" s="196"/>
      <c r="C9" s="196"/>
      <c r="D9" s="196"/>
      <c r="E9" s="196"/>
      <c r="F9" s="196"/>
      <c r="G9" s="196"/>
      <c r="H9" s="196"/>
      <c r="I9" s="187"/>
      <c r="J9" s="14"/>
      <c r="K9" s="193"/>
      <c r="L9" s="191" t="str">
        <f>C14</f>
        <v>Навальный Алексей «ФБК»</v>
      </c>
      <c r="M9" s="192"/>
      <c r="N9" s="192"/>
      <c r="O9" s="192"/>
    </row>
    <row r="10" spans="1:15" ht="12.75" customHeight="1" x14ac:dyDescent="0.35">
      <c r="A10" s="196"/>
      <c r="B10" s="196"/>
      <c r="C10" s="196"/>
      <c r="D10" s="196"/>
      <c r="E10" s="196"/>
      <c r="F10" s="196"/>
      <c r="G10" s="196"/>
      <c r="H10" s="196"/>
      <c r="I10" s="187"/>
      <c r="J10" s="14"/>
      <c r="K10" s="193"/>
      <c r="L10" s="191"/>
      <c r="M10" s="192"/>
      <c r="N10" s="192"/>
      <c r="O10" s="192"/>
    </row>
    <row r="11" spans="1:15" ht="12.75" customHeight="1" x14ac:dyDescent="0.35">
      <c r="A11" s="185" t="str">
        <f>факт!D4</f>
        <v>001-01/20</v>
      </c>
      <c r="B11" s="195" t="str">
        <f>L23</f>
        <v>01 января 2020 г.</v>
      </c>
      <c r="C11" s="195"/>
      <c r="D11" s="195"/>
      <c r="E11" s="187"/>
      <c r="F11" s="187"/>
      <c r="G11" s="188">
        <f>факт!J17</f>
        <v>2500</v>
      </c>
      <c r="H11" s="187"/>
      <c r="I11" s="187"/>
      <c r="J11" s="14"/>
      <c r="K11" s="193"/>
      <c r="L11" s="191"/>
      <c r="M11" s="192"/>
      <c r="N11" s="192"/>
      <c r="O11" s="192"/>
    </row>
    <row r="12" spans="1:15" ht="12.75" customHeight="1" x14ac:dyDescent="0.35">
      <c r="A12" s="186"/>
      <c r="B12" s="195"/>
      <c r="C12" s="195"/>
      <c r="D12" s="195"/>
      <c r="E12" s="187"/>
      <c r="F12" s="187"/>
      <c r="G12" s="187"/>
      <c r="H12" s="187"/>
      <c r="I12" s="187"/>
      <c r="J12" s="14"/>
      <c r="K12" s="193"/>
      <c r="L12" s="182" t="s">
        <v>2</v>
      </c>
      <c r="M12" s="182"/>
      <c r="N12" s="130"/>
      <c r="O12" s="130"/>
    </row>
    <row r="13" spans="1:15" ht="12.75" customHeight="1" x14ac:dyDescent="0.35">
      <c r="K13" s="193"/>
      <c r="L13" s="191" t="str">
        <f>C17</f>
        <v>Договор №001-01/20 от 01 января 2020 г.</v>
      </c>
      <c r="M13" s="192"/>
      <c r="N13" s="192"/>
      <c r="O13" s="192"/>
    </row>
    <row r="14" spans="1:15" ht="12.75" customHeight="1" x14ac:dyDescent="0.35">
      <c r="A14" s="182" t="s">
        <v>31</v>
      </c>
      <c r="B14" s="182"/>
      <c r="C14" s="183" t="str">
        <f>факт!C7</f>
        <v>Навальный Алексей «ФБК»</v>
      </c>
      <c r="D14" s="183"/>
      <c r="E14" s="183"/>
      <c r="F14" s="183"/>
      <c r="G14" s="183"/>
      <c r="H14" s="183"/>
      <c r="I14" s="184"/>
      <c r="J14" s="25"/>
      <c r="K14" s="193"/>
      <c r="L14" s="191"/>
      <c r="M14" s="192"/>
      <c r="N14" s="192"/>
      <c r="O14" s="192"/>
    </row>
    <row r="15" spans="1:15" ht="12.75" customHeight="1" x14ac:dyDescent="0.35">
      <c r="A15" s="15"/>
      <c r="B15" s="15"/>
      <c r="C15" s="183"/>
      <c r="D15" s="183"/>
      <c r="E15" s="183"/>
      <c r="F15" s="183"/>
      <c r="G15" s="183"/>
      <c r="H15" s="183"/>
      <c r="I15" s="184"/>
      <c r="J15" s="25"/>
      <c r="K15" s="193"/>
      <c r="L15" s="191"/>
      <c r="M15" s="192"/>
      <c r="N15" s="192"/>
      <c r="O15" s="192"/>
    </row>
    <row r="16" spans="1:15" ht="12.75" customHeight="1" x14ac:dyDescent="0.35">
      <c r="A16" s="15"/>
      <c r="B16" s="15"/>
      <c r="K16" s="193"/>
      <c r="L16" s="182" t="s">
        <v>32</v>
      </c>
      <c r="M16" s="182"/>
      <c r="N16" s="130"/>
      <c r="O16" s="130"/>
    </row>
    <row r="17" spans="1:15" ht="12.75" customHeight="1" x14ac:dyDescent="0.35">
      <c r="A17" s="182" t="s">
        <v>2</v>
      </c>
      <c r="B17" s="182"/>
      <c r="C17" s="183" t="str">
        <f>факт!C9</f>
        <v>Договор №001-01/20 от 01 января 2020 г.</v>
      </c>
      <c r="D17" s="183"/>
      <c r="E17" s="183"/>
      <c r="F17" s="183"/>
      <c r="G17" s="183"/>
      <c r="H17" s="183"/>
      <c r="I17" s="184"/>
      <c r="J17" s="25"/>
      <c r="K17" s="193"/>
      <c r="L17" s="191" t="str">
        <f>C20</f>
        <v>Две тысячи пятьсот сом, 00 тыйын</v>
      </c>
      <c r="M17" s="192"/>
      <c r="N17" s="192"/>
      <c r="O17" s="192"/>
    </row>
    <row r="18" spans="1:15" ht="12.75" customHeight="1" x14ac:dyDescent="0.35">
      <c r="A18" s="15"/>
      <c r="B18" s="15"/>
      <c r="C18" s="183"/>
      <c r="D18" s="183"/>
      <c r="E18" s="183"/>
      <c r="F18" s="183"/>
      <c r="G18" s="183"/>
      <c r="H18" s="183"/>
      <c r="I18" s="184"/>
      <c r="J18" s="25"/>
      <c r="K18" s="193"/>
      <c r="L18" s="191"/>
      <c r="M18" s="192"/>
      <c r="N18" s="192"/>
      <c r="O18" s="192"/>
    </row>
    <row r="19" spans="1:15" ht="12.75" customHeight="1" x14ac:dyDescent="0.35">
      <c r="A19" s="15"/>
      <c r="B19" s="15"/>
      <c r="K19" s="193"/>
      <c r="L19" s="191"/>
      <c r="M19" s="192"/>
      <c r="N19" s="192"/>
      <c r="O19" s="192"/>
    </row>
    <row r="20" spans="1:15" ht="12.75" customHeight="1" x14ac:dyDescent="0.35">
      <c r="A20" s="182" t="s">
        <v>32</v>
      </c>
      <c r="B20" s="182"/>
      <c r="C20" s="183" t="str">
        <f>факт!C23</f>
        <v>Две тысячи пятьсот сом, 00 тыйын</v>
      </c>
      <c r="D20" s="183"/>
      <c r="E20" s="183"/>
      <c r="F20" s="183"/>
      <c r="G20" s="183"/>
      <c r="H20" s="183"/>
      <c r="I20" s="184"/>
      <c r="J20" s="25"/>
      <c r="K20" s="193"/>
      <c r="L20" s="19">
        <f>G11</f>
        <v>2500</v>
      </c>
      <c r="M20" s="17" t="s">
        <v>11</v>
      </c>
      <c r="N20" s="18" t="s">
        <v>36</v>
      </c>
      <c r="O20" s="17" t="s">
        <v>35</v>
      </c>
    </row>
    <row r="21" spans="1:15" ht="12.75" customHeight="1" x14ac:dyDescent="0.35">
      <c r="A21" s="15"/>
      <c r="B21" s="15"/>
      <c r="C21" s="183"/>
      <c r="D21" s="183"/>
      <c r="E21" s="183"/>
      <c r="F21" s="183"/>
      <c r="G21" s="183"/>
      <c r="H21" s="183"/>
      <c r="I21" s="184"/>
      <c r="J21" s="25"/>
      <c r="K21" s="193"/>
      <c r="L21" s="27"/>
      <c r="M21" s="27"/>
      <c r="N21" s="16"/>
      <c r="O21" s="16"/>
    </row>
    <row r="22" spans="1:15" ht="12.75" customHeight="1" x14ac:dyDescent="0.35">
      <c r="A22" s="15"/>
      <c r="B22" s="15"/>
      <c r="K22" s="193"/>
    </row>
    <row r="23" spans="1:15" ht="12.75" customHeight="1" x14ac:dyDescent="0.35">
      <c r="A23" s="182" t="s">
        <v>34</v>
      </c>
      <c r="B23" s="182"/>
      <c r="C23" s="183" t="str">
        <f>факт!C15</f>
        <v>Экспертиза и оценка: Транспортное средство Subaru Outback, 08KG848ААА</v>
      </c>
      <c r="D23" s="183"/>
      <c r="E23" s="183"/>
      <c r="F23" s="183"/>
      <c r="G23" s="183"/>
      <c r="H23" s="183"/>
      <c r="I23" s="184"/>
      <c r="J23" s="25"/>
      <c r="K23" s="193"/>
      <c r="L23" s="189" t="str">
        <f>факт!H4</f>
        <v>01 января 2020 г.</v>
      </c>
      <c r="M23" s="189"/>
      <c r="N23" s="190"/>
      <c r="O23" s="190"/>
    </row>
    <row r="24" spans="1:15" ht="12.75" customHeight="1" x14ac:dyDescent="0.35">
      <c r="A24" s="14"/>
      <c r="B24" s="14"/>
      <c r="C24" s="183"/>
      <c r="D24" s="183"/>
      <c r="E24" s="183"/>
      <c r="F24" s="183"/>
      <c r="G24" s="183"/>
      <c r="H24" s="183"/>
      <c r="I24" s="184"/>
      <c r="J24" s="25"/>
      <c r="K24" s="193"/>
    </row>
    <row r="25" spans="1:15" ht="12.75" customHeight="1" x14ac:dyDescent="0.35">
      <c r="A25" s="14"/>
      <c r="B25" s="14"/>
      <c r="C25" s="183"/>
      <c r="D25" s="183"/>
      <c r="E25" s="183"/>
      <c r="F25" s="183"/>
      <c r="G25" s="183"/>
      <c r="H25" s="183"/>
      <c r="I25" s="184"/>
      <c r="J25" s="25"/>
      <c r="K25" s="193"/>
    </row>
    <row r="26" spans="1:15" ht="12.75" customHeight="1" x14ac:dyDescent="0.35">
      <c r="A26" s="14"/>
      <c r="B26" s="14"/>
      <c r="C26" s="183"/>
      <c r="D26" s="183"/>
      <c r="E26" s="183"/>
      <c r="F26" s="183"/>
      <c r="G26" s="183"/>
      <c r="H26" s="183"/>
      <c r="I26" s="184"/>
      <c r="J26" s="25"/>
      <c r="K26" s="193"/>
      <c r="L26" s="8" t="s">
        <v>16</v>
      </c>
    </row>
    <row r="27" spans="1:15" ht="12.75" customHeight="1" x14ac:dyDescent="0.35">
      <c r="A27" s="14"/>
      <c r="B27" s="14"/>
      <c r="C27" s="183"/>
      <c r="D27" s="183"/>
      <c r="E27" s="183"/>
      <c r="F27" s="183"/>
      <c r="G27" s="183"/>
      <c r="H27" s="183"/>
      <c r="I27" s="184"/>
      <c r="J27" s="25"/>
      <c r="K27" s="193"/>
    </row>
    <row r="28" spans="1:15" ht="12.75" customHeight="1" x14ac:dyDescent="0.35">
      <c r="A28" s="14"/>
      <c r="B28" s="14"/>
      <c r="K28" s="193"/>
    </row>
    <row r="29" spans="1:15" ht="12.75" customHeight="1" x14ac:dyDescent="0.35">
      <c r="A29" s="182" t="s">
        <v>33</v>
      </c>
      <c r="B29" s="182"/>
      <c r="C29" s="182"/>
      <c r="D29" s="182"/>
      <c r="E29" s="182"/>
      <c r="F29" s="182"/>
      <c r="G29" s="182"/>
      <c r="H29" s="182"/>
      <c r="I29" s="182"/>
      <c r="J29" s="15"/>
      <c r="K29" s="193"/>
      <c r="L29" s="182" t="s">
        <v>33</v>
      </c>
      <c r="M29" s="182"/>
      <c r="N29" s="130"/>
      <c r="O29" s="130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93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3">
    <mergeCell ref="L8:O8"/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6:A10"/>
    <mergeCell ref="H6:H10"/>
    <mergeCell ref="F6:F10"/>
    <mergeCell ref="E6:E10"/>
    <mergeCell ref="G6:G10"/>
    <mergeCell ref="L23:O23"/>
    <mergeCell ref="L29:O29"/>
    <mergeCell ref="H11:H12"/>
    <mergeCell ref="I11:I12"/>
    <mergeCell ref="L9:O11"/>
    <mergeCell ref="L13:O15"/>
    <mergeCell ref="C14:I15"/>
    <mergeCell ref="K1:K30"/>
    <mergeCell ref="L12:O12"/>
    <mergeCell ref="L16:O16"/>
    <mergeCell ref="L17:O19"/>
    <mergeCell ref="A5:F5"/>
    <mergeCell ref="L5:O5"/>
    <mergeCell ref="I6:I10"/>
    <mergeCell ref="B11:D12"/>
    <mergeCell ref="B6:D10"/>
    <mergeCell ref="A11:A12"/>
    <mergeCell ref="E11:E12"/>
    <mergeCell ref="A14:B14"/>
    <mergeCell ref="A17:B17"/>
    <mergeCell ref="C17:I18"/>
    <mergeCell ref="F11:F12"/>
    <mergeCell ref="G11:G12"/>
    <mergeCell ref="A20:B20"/>
    <mergeCell ref="A23:B23"/>
    <mergeCell ref="A29:I29"/>
    <mergeCell ref="C23:I27"/>
    <mergeCell ref="C20:I21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79" customWidth="1"/>
    <col min="5" max="8" width="10.26953125" style="79" customWidth="1"/>
    <col min="9" max="16384" width="9.1796875" style="79"/>
  </cols>
  <sheetData>
    <row r="1" spans="1:8" ht="15" x14ac:dyDescent="0.35">
      <c r="A1" s="203" t="str">
        <f>"Акт о приемке выполненных работ №"&amp;счёт!D4</f>
        <v>Акт о приемке выполненных работ №001-01/20</v>
      </c>
      <c r="B1" s="203"/>
      <c r="C1" s="203"/>
      <c r="D1" s="203"/>
      <c r="E1" s="78"/>
      <c r="F1" s="78"/>
      <c r="G1" s="78"/>
      <c r="H1" s="78"/>
    </row>
    <row r="2" spans="1:8" x14ac:dyDescent="0.35">
      <c r="A2" s="204" t="str">
        <f>"от "&amp;факт!H4</f>
        <v>от 01 января 2020 г.</v>
      </c>
      <c r="B2" s="204"/>
      <c r="C2" s="204"/>
      <c r="D2" s="204"/>
      <c r="E2" s="80"/>
      <c r="F2" s="80"/>
      <c r="G2" s="80"/>
      <c r="H2" s="80"/>
    </row>
    <row r="3" spans="1:8" x14ac:dyDescent="0.35">
      <c r="A3" s="78"/>
      <c r="B3" s="78"/>
      <c r="C3" s="78"/>
      <c r="D3" s="78"/>
      <c r="F3" s="81"/>
      <c r="H3" s="82"/>
    </row>
    <row r="4" spans="1:8" x14ac:dyDescent="0.35">
      <c r="A4" s="83" t="s">
        <v>300</v>
      </c>
      <c r="B4" s="205" t="s">
        <v>301</v>
      </c>
      <c r="C4" s="205"/>
      <c r="D4" s="205"/>
      <c r="E4" s="84"/>
      <c r="F4" s="84"/>
      <c r="G4" s="84"/>
      <c r="H4" s="84"/>
    </row>
    <row r="5" spans="1:8" x14ac:dyDescent="0.35">
      <c r="B5" s="85"/>
      <c r="C5" s="85"/>
      <c r="D5" s="85"/>
      <c r="E5" s="86"/>
      <c r="F5" s="86"/>
      <c r="G5" s="86"/>
      <c r="H5" s="86"/>
    </row>
    <row r="6" spans="1:8" x14ac:dyDescent="0.35">
      <c r="A6" s="83" t="s">
        <v>302</v>
      </c>
      <c r="B6" s="205" t="str">
        <f>Дано!B6</f>
        <v>Навальный Алексей «ФБК»</v>
      </c>
      <c r="C6" s="205"/>
      <c r="D6" s="205"/>
      <c r="E6" s="84"/>
      <c r="F6" s="84"/>
      <c r="G6" s="84"/>
      <c r="H6" s="84"/>
    </row>
    <row r="7" spans="1:8" ht="14.5" thickBot="1" x14ac:dyDescent="0.4">
      <c r="B7" s="85"/>
      <c r="C7" s="85"/>
      <c r="D7" s="85"/>
      <c r="E7" s="86"/>
      <c r="F7" s="86"/>
      <c r="G7" s="86"/>
      <c r="H7" s="86"/>
    </row>
    <row r="8" spans="1:8" s="91" customFormat="1" ht="28" x14ac:dyDescent="0.35">
      <c r="A8" s="87" t="s">
        <v>303</v>
      </c>
      <c r="B8" s="88" t="s">
        <v>311</v>
      </c>
      <c r="C8" s="88" t="s">
        <v>304</v>
      </c>
      <c r="D8" s="89" t="s">
        <v>305</v>
      </c>
      <c r="E8" s="90"/>
      <c r="F8" s="90"/>
      <c r="G8" s="90"/>
      <c r="H8" s="90"/>
    </row>
    <row r="9" spans="1:8" s="91" customFormat="1" x14ac:dyDescent="0.3">
      <c r="A9" s="92" t="str">
        <f>Дано!B2</f>
        <v>001-01/20</v>
      </c>
      <c r="B9" s="93" t="str">
        <f>Дано!B17</f>
        <v>Subaru Outback</v>
      </c>
      <c r="C9" s="93" t="str">
        <f>Дано!B18</f>
        <v>08KG848ААА</v>
      </c>
      <c r="D9" s="94">
        <f>Дано!B13</f>
        <v>2500</v>
      </c>
      <c r="E9" s="90"/>
      <c r="F9" s="90"/>
      <c r="G9" s="90"/>
      <c r="H9" s="90"/>
    </row>
    <row r="10" spans="1:8" s="91" customFormat="1" ht="14.5" thickBot="1" x14ac:dyDescent="0.35">
      <c r="A10" s="206" t="s">
        <v>306</v>
      </c>
      <c r="B10" s="207"/>
      <c r="C10" s="208"/>
      <c r="D10" s="95">
        <f>SUM(D9:D9)</f>
        <v>2500</v>
      </c>
      <c r="E10" s="90"/>
      <c r="F10" s="90"/>
      <c r="G10" s="90"/>
      <c r="H10" s="90"/>
    </row>
    <row r="11" spans="1:8" x14ac:dyDescent="0.35">
      <c r="B11" s="85"/>
      <c r="C11" s="85"/>
      <c r="D11" s="85"/>
      <c r="E11" s="86"/>
      <c r="F11" s="86"/>
      <c r="G11" s="86"/>
      <c r="H11" s="86"/>
    </row>
    <row r="12" spans="1:8" x14ac:dyDescent="0.35">
      <c r="A12" s="96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96"/>
      <c r="C12" s="96"/>
      <c r="D12" s="96"/>
      <c r="E12" s="96"/>
      <c r="F12" s="96"/>
      <c r="G12" s="96"/>
      <c r="H12" s="96"/>
    </row>
    <row r="13" spans="1:8" x14ac:dyDescent="0.35">
      <c r="B13" s="85"/>
      <c r="C13" s="85"/>
      <c r="D13" s="85"/>
      <c r="E13" s="97"/>
      <c r="F13" s="97"/>
      <c r="G13" s="97"/>
      <c r="H13" s="97"/>
    </row>
    <row r="14" spans="1:8" x14ac:dyDescent="0.35">
      <c r="A14" s="96" t="s">
        <v>307</v>
      </c>
      <c r="B14" s="96"/>
      <c r="C14" s="96"/>
      <c r="D14" s="96"/>
      <c r="E14" s="96"/>
      <c r="F14" s="96"/>
      <c r="G14" s="96"/>
      <c r="H14" s="96"/>
    </row>
    <row r="15" spans="1:8" x14ac:dyDescent="0.35">
      <c r="B15" s="85"/>
      <c r="C15" s="85"/>
      <c r="D15" s="85"/>
      <c r="E15" s="97"/>
      <c r="F15" s="97"/>
      <c r="G15" s="97"/>
      <c r="H15" s="97"/>
    </row>
    <row r="16" spans="1:8" x14ac:dyDescent="0.35">
      <c r="A16" s="96" t="s">
        <v>308</v>
      </c>
      <c r="B16" s="96"/>
      <c r="C16" s="96"/>
      <c r="D16" s="96"/>
      <c r="E16" s="96"/>
      <c r="F16" s="96"/>
      <c r="G16" s="96"/>
      <c r="H16" s="96"/>
    </row>
    <row r="17" spans="1:8" x14ac:dyDescent="0.35">
      <c r="B17" s="86"/>
      <c r="C17" s="86"/>
      <c r="D17" s="86"/>
      <c r="E17" s="86"/>
      <c r="F17" s="86"/>
      <c r="G17" s="86"/>
      <c r="H17" s="86"/>
    </row>
    <row r="18" spans="1:8" x14ac:dyDescent="0.35">
      <c r="B18" s="86"/>
      <c r="C18" s="86"/>
      <c r="D18" s="86"/>
      <c r="E18" s="86"/>
      <c r="F18" s="86"/>
      <c r="G18" s="86"/>
      <c r="H18" s="86"/>
    </row>
    <row r="19" spans="1:8" x14ac:dyDescent="0.35">
      <c r="A19" s="209" t="s">
        <v>309</v>
      </c>
      <c r="B19" s="209"/>
      <c r="C19" s="209" t="s">
        <v>310</v>
      </c>
      <c r="D19" s="209"/>
      <c r="F19" s="97"/>
      <c r="G19" s="97"/>
      <c r="H19" s="97"/>
    </row>
    <row r="20" spans="1:8" x14ac:dyDescent="0.35">
      <c r="A20" s="202" t="s">
        <v>16</v>
      </c>
      <c r="B20" s="202"/>
      <c r="C20" s="202" t="s">
        <v>16</v>
      </c>
      <c r="D20" s="202"/>
    </row>
    <row r="21" spans="1:8" x14ac:dyDescent="0.35">
      <c r="B21" s="86"/>
      <c r="C21" s="86"/>
      <c r="D21" s="86"/>
      <c r="E21" s="86"/>
      <c r="F21" s="86"/>
      <c r="G21" s="86"/>
      <c r="H21" s="86"/>
    </row>
    <row r="22" spans="1:8" x14ac:dyDescent="0.35">
      <c r="B22" s="85"/>
      <c r="C22" s="85"/>
      <c r="D22" s="85"/>
      <c r="E22" s="86"/>
      <c r="F22" s="86"/>
      <c r="G22" s="86"/>
      <c r="H22" s="86"/>
    </row>
    <row r="23" spans="1:8" x14ac:dyDescent="0.35">
      <c r="B23" s="86"/>
      <c r="C23" s="86"/>
      <c r="D23" s="86"/>
      <c r="E23" s="86"/>
      <c r="F23" s="86"/>
      <c r="G23" s="86"/>
      <c r="H23" s="86"/>
    </row>
    <row r="24" spans="1:8" x14ac:dyDescent="0.35">
      <c r="B24" s="86"/>
      <c r="C24" s="86"/>
      <c r="D24" s="86"/>
      <c r="E24" s="86"/>
      <c r="F24" s="86"/>
      <c r="G24" s="86"/>
      <c r="H24" s="86"/>
    </row>
    <row r="25" spans="1:8" x14ac:dyDescent="0.35">
      <c r="B25" s="86"/>
      <c r="C25" s="86"/>
      <c r="D25" s="86"/>
      <c r="E25" s="86"/>
      <c r="F25" s="86"/>
      <c r="G25" s="86"/>
      <c r="H25" s="86"/>
    </row>
    <row r="26" spans="1:8" x14ac:dyDescent="0.35">
      <c r="B26" s="86"/>
      <c r="C26" s="86"/>
      <c r="D26" s="86"/>
      <c r="E26" s="86"/>
      <c r="F26" s="86"/>
      <c r="G26" s="86"/>
      <c r="H26" s="86"/>
    </row>
    <row r="27" spans="1:8" x14ac:dyDescent="0.35">
      <c r="B27" s="86"/>
      <c r="C27" s="86"/>
      <c r="D27" s="86"/>
      <c r="E27" s="86"/>
      <c r="F27" s="86"/>
      <c r="G27" s="86"/>
      <c r="H27" s="86"/>
    </row>
    <row r="28" spans="1:8" x14ac:dyDescent="0.35">
      <c r="B28" s="86"/>
      <c r="C28" s="86"/>
      <c r="D28" s="86"/>
      <c r="E28" s="86"/>
      <c r="F28" s="86"/>
      <c r="G28" s="86"/>
      <c r="H28" s="86"/>
    </row>
    <row r="29" spans="1:8" x14ac:dyDescent="0.35">
      <c r="B29" s="86"/>
      <c r="C29" s="86"/>
      <c r="D29" s="86"/>
      <c r="E29" s="86"/>
      <c r="F29" s="86"/>
      <c r="G29" s="86"/>
      <c r="H29" s="86"/>
    </row>
    <row r="30" spans="1:8" x14ac:dyDescent="0.35">
      <c r="B30" s="86"/>
      <c r="C30" s="86"/>
      <c r="D30" s="86"/>
      <c r="E30" s="86"/>
      <c r="F30" s="86"/>
      <c r="G30" s="86"/>
      <c r="H30" s="86"/>
    </row>
    <row r="31" spans="1:8" x14ac:dyDescent="0.35">
      <c r="B31" s="86"/>
      <c r="C31" s="86"/>
      <c r="D31" s="86"/>
      <c r="E31" s="86"/>
      <c r="F31" s="86"/>
      <c r="G31" s="86"/>
      <c r="H31" s="86"/>
    </row>
    <row r="32" spans="1:8" x14ac:dyDescent="0.35">
      <c r="B32" s="86"/>
      <c r="C32" s="86"/>
      <c r="D32" s="86"/>
      <c r="E32" s="86"/>
      <c r="F32" s="86"/>
      <c r="G32" s="86"/>
      <c r="H32" s="86"/>
    </row>
    <row r="33" spans="2:8" x14ac:dyDescent="0.35">
      <c r="B33" s="86"/>
      <c r="C33" s="86"/>
      <c r="D33" s="86"/>
      <c r="E33" s="86"/>
      <c r="F33" s="86"/>
      <c r="G33" s="86"/>
      <c r="H33" s="86"/>
    </row>
    <row r="34" spans="2:8" x14ac:dyDescent="0.35">
      <c r="B34" s="86"/>
      <c r="C34" s="86"/>
      <c r="D34" s="86"/>
      <c r="E34" s="86"/>
      <c r="F34" s="86"/>
      <c r="G34" s="86"/>
      <c r="H34" s="86"/>
    </row>
    <row r="35" spans="2:8" x14ac:dyDescent="0.35">
      <c r="B35" s="86"/>
      <c r="C35" s="86"/>
      <c r="D35" s="86"/>
      <c r="E35" s="86"/>
      <c r="F35" s="86"/>
      <c r="G35" s="86"/>
      <c r="H35" s="86"/>
    </row>
    <row r="36" spans="2:8" x14ac:dyDescent="0.35">
      <c r="B36" s="86"/>
      <c r="C36" s="86"/>
      <c r="D36" s="86"/>
      <c r="E36" s="86"/>
      <c r="F36" s="86"/>
      <c r="G36" s="86"/>
      <c r="H36" s="86"/>
    </row>
    <row r="37" spans="2:8" x14ac:dyDescent="0.35">
      <c r="B37" s="86"/>
      <c r="C37" s="86"/>
      <c r="D37" s="86"/>
      <c r="E37" s="86"/>
      <c r="F37" s="86"/>
      <c r="G37" s="86"/>
      <c r="H37" s="86"/>
    </row>
    <row r="38" spans="2:8" x14ac:dyDescent="0.35">
      <c r="B38" s="86"/>
      <c r="C38" s="86"/>
      <c r="D38" s="86"/>
      <c r="E38" s="86"/>
      <c r="F38" s="86"/>
      <c r="G38" s="86"/>
      <c r="H38" s="86"/>
    </row>
    <row r="39" spans="2:8" x14ac:dyDescent="0.35">
      <c r="B39" s="86"/>
      <c r="C39" s="86"/>
      <c r="D39" s="86"/>
      <c r="E39" s="86"/>
      <c r="F39" s="86"/>
      <c r="G39" s="86"/>
      <c r="H39" s="86"/>
    </row>
    <row r="40" spans="2:8" x14ac:dyDescent="0.35">
      <c r="B40" s="86"/>
      <c r="C40" s="86"/>
      <c r="D40" s="86"/>
      <c r="E40" s="86"/>
      <c r="F40" s="86"/>
      <c r="G40" s="86"/>
      <c r="H40" s="86"/>
    </row>
    <row r="41" spans="2:8" x14ac:dyDescent="0.35">
      <c r="B41" s="86"/>
      <c r="C41" s="86"/>
      <c r="D41" s="86"/>
      <c r="E41" s="86"/>
      <c r="F41" s="86"/>
      <c r="G41" s="86"/>
      <c r="H41" s="86"/>
    </row>
    <row r="42" spans="2:8" x14ac:dyDescent="0.35">
      <c r="B42" s="86"/>
      <c r="C42" s="86"/>
      <c r="D42" s="86"/>
      <c r="E42" s="86"/>
      <c r="F42" s="86"/>
      <c r="G42" s="86"/>
      <c r="H42" s="86"/>
    </row>
    <row r="43" spans="2:8" x14ac:dyDescent="0.35">
      <c r="B43" s="86"/>
      <c r="C43" s="86"/>
      <c r="D43" s="86"/>
      <c r="E43" s="86"/>
      <c r="F43" s="86"/>
      <c r="G43" s="86"/>
      <c r="H43" s="86"/>
    </row>
    <row r="44" spans="2:8" x14ac:dyDescent="0.35">
      <c r="B44" s="86"/>
      <c r="C44" s="86"/>
      <c r="D44" s="86"/>
      <c r="E44" s="86"/>
      <c r="F44" s="86"/>
      <c r="G44" s="86"/>
      <c r="H44" s="86"/>
    </row>
    <row r="45" spans="2:8" x14ac:dyDescent="0.35">
      <c r="B45" s="86"/>
      <c r="C45" s="86"/>
      <c r="D45" s="86"/>
      <c r="E45" s="86"/>
      <c r="F45" s="86"/>
      <c r="G45" s="86"/>
      <c r="H45" s="86"/>
    </row>
    <row r="46" spans="2:8" x14ac:dyDescent="0.35">
      <c r="B46" s="86"/>
      <c r="C46" s="86"/>
      <c r="D46" s="86"/>
      <c r="E46" s="86"/>
      <c r="F46" s="86"/>
      <c r="G46" s="86"/>
      <c r="H46" s="86"/>
    </row>
    <row r="47" spans="2:8" x14ac:dyDescent="0.35">
      <c r="B47" s="86"/>
      <c r="C47" s="86"/>
      <c r="D47" s="86"/>
      <c r="E47" s="86"/>
      <c r="F47" s="86"/>
      <c r="G47" s="86"/>
      <c r="H47" s="86"/>
    </row>
    <row r="48" spans="2:8" x14ac:dyDescent="0.35">
      <c r="B48" s="86"/>
      <c r="C48" s="86"/>
      <c r="D48" s="86"/>
      <c r="E48" s="86"/>
      <c r="F48" s="86"/>
      <c r="G48" s="86"/>
      <c r="H48" s="86"/>
    </row>
    <row r="49" spans="2:8" x14ac:dyDescent="0.35">
      <c r="B49" s="86"/>
      <c r="C49" s="86"/>
      <c r="D49" s="86"/>
      <c r="E49" s="86"/>
      <c r="F49" s="86"/>
      <c r="G49" s="86"/>
      <c r="H49" s="86"/>
    </row>
    <row r="50" spans="2:8" x14ac:dyDescent="0.35">
      <c r="B50" s="86"/>
      <c r="C50" s="86"/>
      <c r="D50" s="86"/>
      <c r="E50" s="86"/>
      <c r="F50" s="86"/>
      <c r="G50" s="86"/>
      <c r="H50" s="86"/>
    </row>
    <row r="51" spans="2:8" x14ac:dyDescent="0.35">
      <c r="B51" s="86"/>
      <c r="C51" s="86"/>
      <c r="D51" s="86"/>
      <c r="E51" s="86"/>
      <c r="F51" s="86"/>
      <c r="G51" s="86"/>
      <c r="H51" s="86"/>
    </row>
    <row r="52" spans="2:8" x14ac:dyDescent="0.35">
      <c r="B52" s="86"/>
      <c r="C52" s="86"/>
      <c r="D52" s="86"/>
      <c r="E52" s="86"/>
      <c r="F52" s="86"/>
      <c r="G52" s="86"/>
      <c r="H52" s="86"/>
    </row>
    <row r="53" spans="2:8" x14ac:dyDescent="0.35">
      <c r="B53" s="86"/>
      <c r="C53" s="86"/>
      <c r="D53" s="86"/>
      <c r="E53" s="86"/>
      <c r="F53" s="86"/>
      <c r="G53" s="86"/>
      <c r="H53" s="86"/>
    </row>
    <row r="54" spans="2:8" x14ac:dyDescent="0.35">
      <c r="B54" s="86"/>
      <c r="C54" s="86"/>
      <c r="D54" s="86"/>
      <c r="E54" s="86"/>
      <c r="F54" s="86"/>
      <c r="G54" s="86"/>
      <c r="H54" s="86"/>
    </row>
    <row r="55" spans="2:8" x14ac:dyDescent="0.35">
      <c r="B55" s="86"/>
      <c r="C55" s="86"/>
      <c r="D55" s="86"/>
      <c r="E55" s="86"/>
      <c r="F55" s="86"/>
      <c r="G55" s="86"/>
      <c r="H55" s="86"/>
    </row>
    <row r="56" spans="2:8" x14ac:dyDescent="0.35">
      <c r="B56" s="86"/>
      <c r="C56" s="86"/>
      <c r="D56" s="86"/>
      <c r="E56" s="86"/>
      <c r="F56" s="86"/>
      <c r="G56" s="86"/>
      <c r="H56" s="86"/>
    </row>
    <row r="57" spans="2:8" x14ac:dyDescent="0.35">
      <c r="B57" s="86"/>
      <c r="C57" s="86"/>
      <c r="D57" s="86"/>
      <c r="E57" s="86"/>
      <c r="F57" s="86"/>
      <c r="G57" s="86"/>
      <c r="H57" s="86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01"/>
  <sheetViews>
    <sheetView workbookViewId="0">
      <selection activeCell="K2" sqref="K2"/>
    </sheetView>
  </sheetViews>
  <sheetFormatPr defaultColWidth="9.26953125" defaultRowHeight="14.5" x14ac:dyDescent="0.35"/>
  <cols>
    <col min="1" max="1" width="3.81640625" style="28" customWidth="1"/>
    <col min="2" max="2" width="56.26953125" style="28" bestFit="1" customWidth="1"/>
    <col min="3" max="3" width="7" style="120" bestFit="1" customWidth="1"/>
    <col min="4" max="4" width="11.26953125" style="120" bestFit="1" customWidth="1"/>
    <col min="5" max="5" width="11.54296875" style="120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118" t="s">
        <v>4</v>
      </c>
      <c r="B1" s="118" t="s">
        <v>103</v>
      </c>
      <c r="C1" s="121" t="s">
        <v>54</v>
      </c>
      <c r="D1" s="121" t="s">
        <v>55</v>
      </c>
      <c r="E1" s="121" t="s">
        <v>56</v>
      </c>
      <c r="F1" s="42"/>
      <c r="G1" s="43" t="s">
        <v>103</v>
      </c>
      <c r="H1" s="43" t="s">
        <v>104</v>
      </c>
      <c r="I1" s="43" t="s">
        <v>105</v>
      </c>
      <c r="J1" s="43" t="s">
        <v>275</v>
      </c>
      <c r="K1" s="43" t="s">
        <v>106</v>
      </c>
      <c r="L1" s="43" t="s">
        <v>107</v>
      </c>
    </row>
    <row r="2" spans="1:12" x14ac:dyDescent="0.35">
      <c r="A2" s="31"/>
      <c r="B2" s="31"/>
      <c r="C2" s="119"/>
      <c r="D2" s="122"/>
      <c r="E2" s="122"/>
      <c r="G2" s="45">
        <v>0</v>
      </c>
      <c r="H2" s="45">
        <v>0</v>
      </c>
      <c r="I2" s="45">
        <v>0</v>
      </c>
      <c r="J2" s="45">
        <f>УТС!H2</f>
        <v>0</v>
      </c>
      <c r="K2" s="48">
        <f>G2+H2+I2+J2</f>
        <v>0</v>
      </c>
      <c r="L2" s="44">
        <f>ROUND(K2/Дано!B32,2)</f>
        <v>0</v>
      </c>
    </row>
    <row r="3" spans="1:12" x14ac:dyDescent="0.35">
      <c r="A3" s="31"/>
      <c r="B3" s="31"/>
      <c r="C3" s="119"/>
      <c r="D3" s="122"/>
      <c r="E3" s="122"/>
      <c r="G3" s="210" t="s">
        <v>315</v>
      </c>
      <c r="H3" s="210"/>
    </row>
    <row r="4" spans="1:12" x14ac:dyDescent="0.35">
      <c r="A4" s="31"/>
      <c r="B4" s="31"/>
      <c r="C4" s="119"/>
      <c r="D4" s="122"/>
      <c r="E4" s="122"/>
      <c r="G4" s="45"/>
      <c r="H4" s="45"/>
    </row>
    <row r="5" spans="1:12" x14ac:dyDescent="0.35">
      <c r="A5" s="31"/>
      <c r="B5" s="31"/>
      <c r="C5" s="119"/>
      <c r="D5" s="122"/>
      <c r="E5" s="122"/>
    </row>
    <row r="6" spans="1:12" x14ac:dyDescent="0.35">
      <c r="A6" s="31"/>
      <c r="B6" s="31"/>
      <c r="C6" s="119"/>
      <c r="D6" s="122"/>
      <c r="E6" s="122"/>
    </row>
    <row r="7" spans="1:12" x14ac:dyDescent="0.35">
      <c r="A7" s="31"/>
      <c r="B7" s="31"/>
      <c r="C7" s="119"/>
      <c r="D7" s="122"/>
      <c r="E7" s="122"/>
    </row>
    <row r="8" spans="1:12" x14ac:dyDescent="0.35">
      <c r="A8" s="31"/>
      <c r="B8" s="31"/>
      <c r="C8" s="119"/>
      <c r="D8" s="122"/>
      <c r="E8" s="122"/>
    </row>
    <row r="9" spans="1:12" x14ac:dyDescent="0.35">
      <c r="A9" s="31"/>
      <c r="B9" s="31"/>
      <c r="C9" s="119"/>
      <c r="D9" s="122"/>
      <c r="E9" s="122"/>
    </row>
    <row r="10" spans="1:12" x14ac:dyDescent="0.35">
      <c r="A10" s="31"/>
      <c r="B10" s="31"/>
      <c r="C10" s="119"/>
      <c r="D10" s="122"/>
      <c r="E10" s="122"/>
    </row>
    <row r="11" spans="1:12" x14ac:dyDescent="0.35">
      <c r="A11" s="31"/>
      <c r="B11" s="31"/>
      <c r="C11" s="119"/>
      <c r="D11" s="122"/>
      <c r="E11" s="122"/>
    </row>
    <row r="12" spans="1:12" x14ac:dyDescent="0.35">
      <c r="A12" s="31"/>
      <c r="B12" s="31"/>
      <c r="C12" s="119"/>
      <c r="D12" s="122"/>
      <c r="E12" s="122"/>
    </row>
    <row r="13" spans="1:12" x14ac:dyDescent="0.35">
      <c r="A13" s="31"/>
      <c r="B13" s="31"/>
      <c r="C13" s="119"/>
      <c r="D13" s="122"/>
      <c r="E13" s="122"/>
    </row>
    <row r="14" spans="1:12" x14ac:dyDescent="0.35">
      <c r="A14" s="31"/>
      <c r="B14" s="31"/>
      <c r="C14" s="119"/>
      <c r="D14" s="122"/>
      <c r="E14" s="122"/>
    </row>
    <row r="15" spans="1:12" x14ac:dyDescent="0.35">
      <c r="A15" s="31"/>
      <c r="B15" s="31"/>
      <c r="C15" s="119"/>
      <c r="D15" s="122"/>
      <c r="E15" s="122"/>
    </row>
    <row r="16" spans="1:12" x14ac:dyDescent="0.35">
      <c r="A16" s="31"/>
      <c r="B16" s="31"/>
      <c r="C16" s="119"/>
      <c r="D16" s="122"/>
      <c r="E16" s="122"/>
      <c r="G16" s="38"/>
    </row>
    <row r="17" spans="1:5" x14ac:dyDescent="0.35">
      <c r="A17" s="31"/>
      <c r="B17" s="31"/>
      <c r="C17" s="119"/>
      <c r="D17" s="122"/>
      <c r="E17" s="122"/>
    </row>
    <row r="18" spans="1:5" x14ac:dyDescent="0.35">
      <c r="A18" s="31"/>
      <c r="B18" s="31"/>
      <c r="C18" s="119"/>
      <c r="D18" s="122"/>
      <c r="E18" s="122"/>
    </row>
    <row r="19" spans="1:5" x14ac:dyDescent="0.35">
      <c r="A19" s="31"/>
      <c r="B19" s="31"/>
      <c r="C19" s="119"/>
      <c r="D19" s="122"/>
      <c r="E19" s="122"/>
    </row>
    <row r="20" spans="1:5" x14ac:dyDescent="0.35">
      <c r="A20" s="31"/>
      <c r="B20" s="31"/>
      <c r="C20" s="119"/>
      <c r="D20" s="122"/>
      <c r="E20" s="122"/>
    </row>
    <row r="21" spans="1:5" x14ac:dyDescent="0.35">
      <c r="A21" s="31"/>
      <c r="B21" s="31"/>
      <c r="C21" s="119"/>
      <c r="D21" s="122"/>
      <c r="E21" s="122"/>
    </row>
    <row r="22" spans="1:5" x14ac:dyDescent="0.35">
      <c r="A22" s="31"/>
      <c r="B22" s="31"/>
      <c r="C22" s="119"/>
      <c r="D22" s="122"/>
      <c r="E22" s="122"/>
    </row>
    <row r="23" spans="1:5" x14ac:dyDescent="0.35">
      <c r="A23" s="31"/>
      <c r="B23" s="31"/>
      <c r="C23" s="119"/>
      <c r="D23" s="122"/>
      <c r="E23" s="122"/>
    </row>
    <row r="24" spans="1:5" x14ac:dyDescent="0.35">
      <c r="A24" s="31"/>
      <c r="B24" s="31"/>
      <c r="C24" s="119"/>
      <c r="D24" s="122"/>
      <c r="E24" s="122"/>
    </row>
    <row r="25" spans="1:5" x14ac:dyDescent="0.35">
      <c r="A25" s="31"/>
      <c r="B25" s="31"/>
      <c r="C25" s="119"/>
      <c r="D25" s="122"/>
      <c r="E25" s="122"/>
    </row>
    <row r="26" spans="1:5" x14ac:dyDescent="0.35">
      <c r="A26" s="31"/>
      <c r="B26" s="31"/>
      <c r="C26" s="119"/>
      <c r="D26" s="122"/>
      <c r="E26" s="122"/>
    </row>
    <row r="27" spans="1:5" x14ac:dyDescent="0.35">
      <c r="A27" s="31"/>
      <c r="B27" s="31"/>
      <c r="C27" s="119"/>
      <c r="D27" s="122"/>
      <c r="E27" s="122"/>
    </row>
    <row r="28" spans="1:5" x14ac:dyDescent="0.35">
      <c r="A28" s="31"/>
      <c r="B28" s="31"/>
      <c r="C28" s="119"/>
      <c r="D28" s="122"/>
      <c r="E28" s="122"/>
    </row>
    <row r="29" spans="1:5" x14ac:dyDescent="0.35">
      <c r="A29" s="31"/>
      <c r="B29" s="31"/>
      <c r="C29" s="119"/>
      <c r="D29" s="122"/>
      <c r="E29" s="122"/>
    </row>
    <row r="30" spans="1:5" x14ac:dyDescent="0.35">
      <c r="A30" s="31"/>
      <c r="B30" s="31"/>
      <c r="C30" s="119"/>
      <c r="D30" s="122"/>
      <c r="E30" s="122"/>
    </row>
    <row r="31" spans="1:5" x14ac:dyDescent="0.35">
      <c r="A31" s="31"/>
      <c r="B31" s="31"/>
      <c r="C31" s="119"/>
      <c r="D31" s="122"/>
      <c r="E31" s="122"/>
    </row>
    <row r="32" spans="1:5" x14ac:dyDescent="0.35">
      <c r="A32" s="31"/>
      <c r="B32" s="31"/>
      <c r="C32" s="119"/>
      <c r="D32" s="122"/>
      <c r="E32" s="122"/>
    </row>
    <row r="33" spans="1:5" x14ac:dyDescent="0.35">
      <c r="A33" s="31"/>
      <c r="B33" s="31"/>
      <c r="C33" s="119"/>
      <c r="D33" s="122"/>
      <c r="E33" s="122"/>
    </row>
    <row r="34" spans="1:5" x14ac:dyDescent="0.35">
      <c r="A34" s="31"/>
      <c r="B34" s="31"/>
      <c r="C34" s="119"/>
      <c r="D34" s="122"/>
      <c r="E34" s="122"/>
    </row>
    <row r="35" spans="1:5" x14ac:dyDescent="0.35">
      <c r="A35" s="31"/>
      <c r="B35" s="31"/>
      <c r="C35" s="119"/>
      <c r="D35" s="122"/>
      <c r="E35" s="122"/>
    </row>
    <row r="36" spans="1:5" x14ac:dyDescent="0.35">
      <c r="A36" s="31"/>
      <c r="B36" s="31"/>
      <c r="C36" s="119"/>
      <c r="D36" s="122"/>
      <c r="E36" s="122"/>
    </row>
    <row r="37" spans="1:5" x14ac:dyDescent="0.35">
      <c r="A37" s="31"/>
      <c r="B37" s="31"/>
      <c r="C37" s="119"/>
      <c r="D37" s="122"/>
      <c r="E37" s="122"/>
    </row>
    <row r="38" spans="1:5" x14ac:dyDescent="0.35">
      <c r="A38" s="31"/>
      <c r="B38" s="31"/>
      <c r="C38" s="119"/>
      <c r="D38" s="122"/>
      <c r="E38" s="122"/>
    </row>
    <row r="39" spans="1:5" x14ac:dyDescent="0.35">
      <c r="A39" s="31"/>
      <c r="B39" s="31"/>
      <c r="C39" s="119"/>
      <c r="D39" s="122"/>
      <c r="E39" s="122"/>
    </row>
    <row r="40" spans="1:5" x14ac:dyDescent="0.35">
      <c r="A40" s="31"/>
      <c r="B40" s="31"/>
      <c r="C40" s="119"/>
      <c r="D40" s="122"/>
      <c r="E40" s="122"/>
    </row>
    <row r="41" spans="1:5" x14ac:dyDescent="0.35">
      <c r="A41" s="31"/>
      <c r="B41" s="31"/>
      <c r="C41" s="119"/>
      <c r="D41" s="122"/>
      <c r="E41" s="122"/>
    </row>
    <row r="42" spans="1:5" x14ac:dyDescent="0.35">
      <c r="A42" s="31"/>
      <c r="B42" s="31"/>
      <c r="C42" s="119"/>
      <c r="D42" s="122"/>
      <c r="E42" s="122"/>
    </row>
    <row r="43" spans="1:5" x14ac:dyDescent="0.35">
      <c r="A43" s="31"/>
      <c r="B43" s="31"/>
      <c r="C43" s="119"/>
      <c r="D43" s="122"/>
      <c r="E43" s="122"/>
    </row>
    <row r="44" spans="1:5" x14ac:dyDescent="0.35">
      <c r="A44" s="31"/>
      <c r="B44" s="31"/>
      <c r="C44" s="119"/>
      <c r="D44" s="122"/>
      <c r="E44" s="122"/>
    </row>
    <row r="45" spans="1:5" x14ac:dyDescent="0.35">
      <c r="A45" s="31"/>
      <c r="B45" s="31"/>
      <c r="C45" s="119"/>
      <c r="D45" s="122"/>
      <c r="E45" s="122"/>
    </row>
    <row r="46" spans="1:5" x14ac:dyDescent="0.35">
      <c r="A46" s="31"/>
      <c r="B46" s="31"/>
      <c r="C46" s="119"/>
      <c r="D46" s="122"/>
      <c r="E46" s="122"/>
    </row>
    <row r="47" spans="1:5" x14ac:dyDescent="0.35">
      <c r="A47" s="31"/>
      <c r="B47" s="31"/>
      <c r="C47" s="119"/>
      <c r="D47" s="122"/>
      <c r="E47" s="122"/>
    </row>
    <row r="48" spans="1:5" x14ac:dyDescent="0.35">
      <c r="A48" s="31"/>
      <c r="B48" s="31"/>
      <c r="C48" s="119"/>
      <c r="D48" s="122"/>
      <c r="E48" s="122"/>
    </row>
    <row r="49" spans="1:5" x14ac:dyDescent="0.35">
      <c r="A49" s="31"/>
      <c r="B49" s="31"/>
      <c r="C49" s="119"/>
      <c r="D49" s="122"/>
      <c r="E49" s="122"/>
    </row>
    <row r="50" spans="1:5" x14ac:dyDescent="0.35">
      <c r="A50" s="31"/>
      <c r="B50" s="31"/>
      <c r="C50" s="119"/>
      <c r="D50" s="122"/>
      <c r="E50" s="122"/>
    </row>
    <row r="51" spans="1:5" x14ac:dyDescent="0.35">
      <c r="A51" s="31"/>
      <c r="B51" s="31"/>
      <c r="C51" s="119"/>
      <c r="D51" s="122"/>
      <c r="E51" s="122"/>
    </row>
    <row r="52" spans="1:5" x14ac:dyDescent="0.35">
      <c r="A52" s="31"/>
      <c r="B52" s="31"/>
      <c r="C52" s="119"/>
      <c r="D52" s="122"/>
      <c r="E52" s="122"/>
    </row>
    <row r="53" spans="1:5" x14ac:dyDescent="0.35">
      <c r="A53" s="31"/>
      <c r="B53" s="31"/>
      <c r="C53" s="119"/>
      <c r="D53" s="122"/>
      <c r="E53" s="122"/>
    </row>
    <row r="54" spans="1:5" x14ac:dyDescent="0.35">
      <c r="A54" s="31"/>
      <c r="B54" s="31"/>
      <c r="C54" s="119"/>
      <c r="D54" s="122"/>
      <c r="E54" s="122"/>
    </row>
    <row r="55" spans="1:5" x14ac:dyDescent="0.35">
      <c r="A55" s="31"/>
      <c r="B55" s="31"/>
      <c r="C55" s="119"/>
      <c r="D55" s="122"/>
      <c r="E55" s="122"/>
    </row>
    <row r="56" spans="1:5" x14ac:dyDescent="0.35">
      <c r="A56" s="31"/>
      <c r="B56" s="31"/>
      <c r="C56" s="119"/>
      <c r="D56" s="122"/>
      <c r="E56" s="122"/>
    </row>
    <row r="57" spans="1:5" x14ac:dyDescent="0.35">
      <c r="A57" s="31"/>
      <c r="B57" s="31"/>
      <c r="C57" s="119"/>
      <c r="D57" s="122"/>
      <c r="E57" s="122"/>
    </row>
    <row r="58" spans="1:5" x14ac:dyDescent="0.35">
      <c r="A58" s="31"/>
      <c r="B58" s="31"/>
      <c r="C58" s="119"/>
      <c r="D58" s="122"/>
      <c r="E58" s="122"/>
    </row>
    <row r="59" spans="1:5" x14ac:dyDescent="0.35">
      <c r="A59" s="31"/>
      <c r="B59" s="31"/>
      <c r="C59" s="119"/>
      <c r="D59" s="122"/>
      <c r="E59" s="122"/>
    </row>
    <row r="60" spans="1:5" x14ac:dyDescent="0.35">
      <c r="A60" s="31"/>
      <c r="B60" s="31"/>
      <c r="C60" s="119"/>
      <c r="D60" s="122"/>
      <c r="E60" s="122"/>
    </row>
    <row r="61" spans="1:5" x14ac:dyDescent="0.35">
      <c r="A61" s="31"/>
      <c r="B61" s="31"/>
      <c r="C61" s="119"/>
      <c r="D61" s="122"/>
      <c r="E61" s="122"/>
    </row>
    <row r="62" spans="1:5" x14ac:dyDescent="0.35">
      <c r="A62" s="31"/>
      <c r="B62" s="31"/>
      <c r="C62" s="119"/>
      <c r="D62" s="122"/>
      <c r="E62" s="122"/>
    </row>
    <row r="63" spans="1:5" x14ac:dyDescent="0.35">
      <c r="A63" s="31"/>
      <c r="B63" s="31"/>
      <c r="C63" s="119"/>
      <c r="D63" s="122"/>
      <c r="E63" s="122"/>
    </row>
    <row r="64" spans="1:5" x14ac:dyDescent="0.35">
      <c r="A64" s="31"/>
      <c r="B64" s="31"/>
      <c r="C64" s="119"/>
      <c r="D64" s="122"/>
      <c r="E64" s="122"/>
    </row>
    <row r="65" spans="1:5" x14ac:dyDescent="0.35">
      <c r="A65" s="31"/>
      <c r="B65" s="31"/>
      <c r="C65" s="119"/>
      <c r="D65" s="122"/>
      <c r="E65" s="122"/>
    </row>
    <row r="66" spans="1:5" x14ac:dyDescent="0.35">
      <c r="A66" s="31"/>
      <c r="B66" s="31"/>
      <c r="C66" s="119"/>
      <c r="D66" s="122"/>
      <c r="E66" s="122"/>
    </row>
    <row r="67" spans="1:5" x14ac:dyDescent="0.35">
      <c r="A67" s="31"/>
      <c r="B67" s="31"/>
      <c r="C67" s="119"/>
      <c r="D67" s="122"/>
      <c r="E67" s="122"/>
    </row>
    <row r="68" spans="1:5" x14ac:dyDescent="0.35">
      <c r="A68" s="31"/>
      <c r="B68" s="31"/>
      <c r="C68" s="119"/>
      <c r="D68" s="122"/>
      <c r="E68" s="122"/>
    </row>
    <row r="69" spans="1:5" x14ac:dyDescent="0.35">
      <c r="A69" s="31"/>
      <c r="B69" s="31"/>
      <c r="C69" s="119"/>
      <c r="D69" s="122"/>
      <c r="E69" s="122"/>
    </row>
    <row r="70" spans="1:5" x14ac:dyDescent="0.35">
      <c r="A70" s="31"/>
      <c r="B70" s="31"/>
      <c r="C70" s="119"/>
      <c r="D70" s="122"/>
      <c r="E70" s="122"/>
    </row>
    <row r="71" spans="1:5" x14ac:dyDescent="0.35">
      <c r="A71" s="31"/>
      <c r="B71" s="31"/>
      <c r="C71" s="119"/>
      <c r="D71" s="122"/>
      <c r="E71" s="122"/>
    </row>
    <row r="72" spans="1:5" x14ac:dyDescent="0.35">
      <c r="A72" s="31"/>
      <c r="B72" s="31"/>
      <c r="C72" s="119"/>
      <c r="D72" s="122"/>
      <c r="E72" s="122"/>
    </row>
    <row r="73" spans="1:5" x14ac:dyDescent="0.35">
      <c r="A73" s="31"/>
      <c r="B73" s="31"/>
      <c r="C73" s="119"/>
      <c r="D73" s="122"/>
      <c r="E73" s="122"/>
    </row>
    <row r="74" spans="1:5" x14ac:dyDescent="0.35">
      <c r="A74" s="31"/>
      <c r="B74" s="31"/>
      <c r="C74" s="119"/>
      <c r="D74" s="122"/>
      <c r="E74" s="122"/>
    </row>
    <row r="75" spans="1:5" x14ac:dyDescent="0.35">
      <c r="A75" s="31"/>
      <c r="B75" s="31"/>
      <c r="C75" s="119"/>
      <c r="D75" s="122"/>
      <c r="E75" s="122"/>
    </row>
    <row r="76" spans="1:5" x14ac:dyDescent="0.35">
      <c r="A76" s="31"/>
      <c r="B76" s="31"/>
      <c r="C76" s="119"/>
      <c r="D76" s="122"/>
      <c r="E76" s="122"/>
    </row>
    <row r="77" spans="1:5" x14ac:dyDescent="0.35">
      <c r="A77" s="31"/>
      <c r="B77" s="31"/>
      <c r="C77" s="119"/>
      <c r="D77" s="122"/>
      <c r="E77" s="122"/>
    </row>
    <row r="78" spans="1:5" x14ac:dyDescent="0.35">
      <c r="A78" s="31"/>
      <c r="B78" s="31"/>
      <c r="C78" s="119"/>
      <c r="D78" s="122"/>
      <c r="E78" s="122"/>
    </row>
    <row r="79" spans="1:5" x14ac:dyDescent="0.35">
      <c r="A79" s="31"/>
      <c r="B79" s="31"/>
      <c r="C79" s="119"/>
      <c r="D79" s="122"/>
      <c r="E79" s="122"/>
    </row>
    <row r="80" spans="1:5" x14ac:dyDescent="0.35">
      <c r="A80" s="31"/>
      <c r="B80" s="31"/>
      <c r="C80" s="119"/>
      <c r="D80" s="122"/>
      <c r="E80" s="122"/>
    </row>
    <row r="81" spans="1:5" x14ac:dyDescent="0.35">
      <c r="A81" s="31"/>
      <c r="B81" s="31"/>
      <c r="C81" s="119"/>
      <c r="D81" s="122"/>
      <c r="E81" s="122"/>
    </row>
    <row r="82" spans="1:5" x14ac:dyDescent="0.35">
      <c r="A82" s="31"/>
      <c r="B82" s="31"/>
      <c r="C82" s="119"/>
      <c r="D82" s="122"/>
      <c r="E82" s="122"/>
    </row>
    <row r="83" spans="1:5" x14ac:dyDescent="0.35">
      <c r="A83" s="31"/>
      <c r="B83" s="31"/>
      <c r="C83" s="119"/>
      <c r="D83" s="122"/>
      <c r="E83" s="122"/>
    </row>
    <row r="84" spans="1:5" x14ac:dyDescent="0.35">
      <c r="A84" s="31"/>
      <c r="B84" s="31"/>
      <c r="C84" s="119"/>
      <c r="D84" s="122"/>
      <c r="E84" s="122"/>
    </row>
    <row r="85" spans="1:5" x14ac:dyDescent="0.35">
      <c r="A85" s="31"/>
      <c r="B85" s="31"/>
      <c r="C85" s="119"/>
      <c r="D85" s="122"/>
      <c r="E85" s="122"/>
    </row>
    <row r="86" spans="1:5" x14ac:dyDescent="0.35">
      <c r="A86" s="31"/>
      <c r="B86" s="31"/>
      <c r="C86" s="119"/>
      <c r="D86" s="122"/>
      <c r="E86" s="122"/>
    </row>
    <row r="87" spans="1:5" x14ac:dyDescent="0.35">
      <c r="A87" s="31"/>
      <c r="B87" s="31"/>
      <c r="C87" s="119"/>
      <c r="D87" s="122"/>
      <c r="E87" s="122"/>
    </row>
    <row r="88" spans="1:5" x14ac:dyDescent="0.35">
      <c r="A88" s="31"/>
      <c r="B88" s="31"/>
      <c r="C88" s="119"/>
      <c r="D88" s="122"/>
      <c r="E88" s="122"/>
    </row>
    <row r="89" spans="1:5" x14ac:dyDescent="0.35">
      <c r="A89" s="31"/>
      <c r="B89" s="31"/>
      <c r="C89" s="119"/>
      <c r="D89" s="122"/>
      <c r="E89" s="122"/>
    </row>
    <row r="90" spans="1:5" x14ac:dyDescent="0.35">
      <c r="A90" s="31"/>
      <c r="B90" s="31"/>
      <c r="C90" s="119"/>
      <c r="D90" s="122"/>
      <c r="E90" s="122"/>
    </row>
    <row r="91" spans="1:5" x14ac:dyDescent="0.35">
      <c r="A91" s="31"/>
      <c r="B91" s="31"/>
      <c r="C91" s="119"/>
      <c r="D91" s="122"/>
      <c r="E91" s="122"/>
    </row>
    <row r="92" spans="1:5" x14ac:dyDescent="0.35">
      <c r="A92" s="31"/>
      <c r="B92" s="31"/>
      <c r="C92" s="119"/>
      <c r="D92" s="122"/>
      <c r="E92" s="122"/>
    </row>
    <row r="93" spans="1:5" x14ac:dyDescent="0.35">
      <c r="A93" s="31"/>
      <c r="B93" s="31"/>
      <c r="C93" s="119"/>
      <c r="D93" s="122"/>
      <c r="E93" s="122"/>
    </row>
    <row r="94" spans="1:5" x14ac:dyDescent="0.35">
      <c r="A94" s="31"/>
      <c r="B94" s="31"/>
      <c r="C94" s="119"/>
      <c r="D94" s="122"/>
      <c r="E94" s="122"/>
    </row>
    <row r="95" spans="1:5" x14ac:dyDescent="0.35">
      <c r="A95" s="31"/>
      <c r="B95" s="31"/>
      <c r="C95" s="119"/>
      <c r="D95" s="122"/>
      <c r="E95" s="122"/>
    </row>
    <row r="96" spans="1:5" x14ac:dyDescent="0.35">
      <c r="A96" s="31"/>
      <c r="B96" s="31"/>
      <c r="C96" s="119"/>
      <c r="D96" s="122"/>
      <c r="E96" s="122"/>
    </row>
    <row r="97" spans="1:5" x14ac:dyDescent="0.35">
      <c r="A97" s="31"/>
      <c r="B97" s="31"/>
      <c r="C97" s="119"/>
      <c r="D97" s="122"/>
      <c r="E97" s="122"/>
    </row>
    <row r="98" spans="1:5" x14ac:dyDescent="0.35">
      <c r="A98" s="31"/>
      <c r="B98" s="31"/>
      <c r="C98" s="119"/>
      <c r="D98" s="122"/>
      <c r="E98" s="122"/>
    </row>
    <row r="99" spans="1:5" x14ac:dyDescent="0.35">
      <c r="A99" s="31"/>
      <c r="B99" s="31"/>
      <c r="C99" s="119"/>
      <c r="D99" s="122"/>
      <c r="E99" s="122"/>
    </row>
    <row r="100" spans="1:5" x14ac:dyDescent="0.35">
      <c r="A100" s="31"/>
      <c r="B100" s="31"/>
      <c r="C100" s="119"/>
      <c r="D100" s="122"/>
      <c r="E100" s="122"/>
    </row>
    <row r="101" spans="1:5" x14ac:dyDescent="0.35">
      <c r="A101" s="31"/>
      <c r="B101" s="31"/>
      <c r="C101" s="119"/>
      <c r="D101" s="122"/>
      <c r="E101" s="122"/>
    </row>
    <row r="102" spans="1:5" x14ac:dyDescent="0.35">
      <c r="A102" s="31"/>
      <c r="B102" s="31"/>
      <c r="C102" s="119"/>
      <c r="D102" s="122"/>
      <c r="E102" s="122"/>
    </row>
    <row r="103" spans="1:5" x14ac:dyDescent="0.35">
      <c r="A103" s="31"/>
      <c r="B103" s="31"/>
      <c r="C103" s="119"/>
      <c r="D103" s="122"/>
      <c r="E103" s="122"/>
    </row>
    <row r="104" spans="1:5" x14ac:dyDescent="0.35">
      <c r="A104" s="31"/>
      <c r="B104" s="31"/>
      <c r="C104" s="119"/>
      <c r="D104" s="122"/>
      <c r="E104" s="122"/>
    </row>
    <row r="105" spans="1:5" x14ac:dyDescent="0.35">
      <c r="A105" s="31"/>
      <c r="B105" s="31"/>
      <c r="C105" s="119"/>
      <c r="D105" s="122"/>
      <c r="E105" s="122"/>
    </row>
    <row r="106" spans="1:5" x14ac:dyDescent="0.35">
      <c r="A106" s="31"/>
      <c r="B106" s="31"/>
      <c r="C106" s="119"/>
      <c r="D106" s="122"/>
      <c r="E106" s="122"/>
    </row>
    <row r="107" spans="1:5" x14ac:dyDescent="0.35">
      <c r="A107" s="31"/>
      <c r="B107" s="31"/>
      <c r="C107" s="119"/>
      <c r="D107" s="122"/>
      <c r="E107" s="122"/>
    </row>
    <row r="108" spans="1:5" x14ac:dyDescent="0.35">
      <c r="A108" s="31"/>
      <c r="B108" s="31"/>
      <c r="C108" s="119"/>
      <c r="D108" s="122"/>
      <c r="E108" s="122"/>
    </row>
    <row r="109" spans="1:5" x14ac:dyDescent="0.35">
      <c r="A109" s="31"/>
      <c r="B109" s="31"/>
      <c r="C109" s="119"/>
      <c r="D109" s="122"/>
      <c r="E109" s="122"/>
    </row>
    <row r="110" spans="1:5" x14ac:dyDescent="0.35">
      <c r="A110" s="31"/>
      <c r="B110" s="31"/>
      <c r="C110" s="119"/>
      <c r="D110" s="122"/>
      <c r="E110" s="122"/>
    </row>
    <row r="111" spans="1:5" x14ac:dyDescent="0.35">
      <c r="A111" s="31"/>
      <c r="B111" s="31"/>
      <c r="C111" s="119"/>
      <c r="D111" s="122"/>
      <c r="E111" s="122"/>
    </row>
    <row r="112" spans="1:5" x14ac:dyDescent="0.35">
      <c r="A112" s="31"/>
      <c r="B112" s="31"/>
      <c r="C112" s="119"/>
      <c r="D112" s="122"/>
      <c r="E112" s="122"/>
    </row>
    <row r="113" spans="1:5" x14ac:dyDescent="0.35">
      <c r="A113" s="31"/>
      <c r="B113" s="31"/>
      <c r="C113" s="119"/>
      <c r="D113" s="122"/>
      <c r="E113" s="122"/>
    </row>
    <row r="114" spans="1:5" x14ac:dyDescent="0.35">
      <c r="A114" s="31"/>
      <c r="B114" s="31"/>
      <c r="C114" s="119"/>
      <c r="D114" s="122"/>
      <c r="E114" s="122"/>
    </row>
    <row r="115" spans="1:5" x14ac:dyDescent="0.35">
      <c r="A115" s="31"/>
      <c r="B115" s="31"/>
      <c r="C115" s="119"/>
      <c r="D115" s="122"/>
      <c r="E115" s="122"/>
    </row>
    <row r="116" spans="1:5" x14ac:dyDescent="0.35">
      <c r="A116" s="31"/>
      <c r="B116" s="31"/>
      <c r="C116" s="119"/>
      <c r="D116" s="122"/>
      <c r="E116" s="122"/>
    </row>
    <row r="117" spans="1:5" x14ac:dyDescent="0.35">
      <c r="A117" s="31"/>
      <c r="B117" s="31"/>
      <c r="C117" s="119"/>
      <c r="D117" s="122"/>
      <c r="E117" s="122"/>
    </row>
    <row r="118" spans="1:5" x14ac:dyDescent="0.35">
      <c r="A118" s="31"/>
      <c r="B118" s="31"/>
      <c r="C118" s="119"/>
      <c r="D118" s="122"/>
      <c r="E118" s="122"/>
    </row>
    <row r="119" spans="1:5" x14ac:dyDescent="0.35">
      <c r="A119" s="31"/>
      <c r="B119" s="31"/>
      <c r="C119" s="119"/>
      <c r="D119" s="122"/>
      <c r="E119" s="122"/>
    </row>
    <row r="120" spans="1:5" x14ac:dyDescent="0.35">
      <c r="A120" s="31"/>
      <c r="B120" s="31"/>
      <c r="C120" s="119"/>
      <c r="D120" s="122"/>
      <c r="E120" s="122"/>
    </row>
    <row r="121" spans="1:5" x14ac:dyDescent="0.35">
      <c r="A121" s="31"/>
      <c r="B121" s="31"/>
      <c r="C121" s="119"/>
      <c r="D121" s="122"/>
      <c r="E121" s="122"/>
    </row>
    <row r="122" spans="1:5" x14ac:dyDescent="0.35">
      <c r="A122" s="31"/>
      <c r="B122" s="31"/>
      <c r="C122" s="119"/>
      <c r="D122" s="122"/>
      <c r="E122" s="122"/>
    </row>
    <row r="123" spans="1:5" x14ac:dyDescent="0.35">
      <c r="A123" s="31"/>
      <c r="B123" s="31"/>
      <c r="C123" s="119"/>
      <c r="D123" s="122"/>
      <c r="E123" s="122"/>
    </row>
    <row r="124" spans="1:5" x14ac:dyDescent="0.35">
      <c r="A124" s="31"/>
      <c r="B124" s="31"/>
      <c r="C124" s="119"/>
      <c r="D124" s="122"/>
      <c r="E124" s="122"/>
    </row>
    <row r="125" spans="1:5" x14ac:dyDescent="0.35">
      <c r="A125" s="31"/>
      <c r="B125" s="31"/>
      <c r="C125" s="119"/>
      <c r="D125" s="122"/>
      <c r="E125" s="122"/>
    </row>
    <row r="126" spans="1:5" x14ac:dyDescent="0.35">
      <c r="A126" s="31"/>
      <c r="B126" s="31"/>
      <c r="C126" s="119"/>
      <c r="D126" s="122"/>
      <c r="E126" s="122"/>
    </row>
    <row r="127" spans="1:5" x14ac:dyDescent="0.35">
      <c r="A127" s="31"/>
      <c r="B127" s="31"/>
      <c r="C127" s="119"/>
      <c r="D127" s="122"/>
      <c r="E127" s="122"/>
    </row>
    <row r="128" spans="1:5" x14ac:dyDescent="0.35">
      <c r="A128" s="31"/>
      <c r="B128" s="31"/>
      <c r="C128" s="119"/>
      <c r="D128" s="122"/>
      <c r="E128" s="122"/>
    </row>
    <row r="129" spans="1:5" x14ac:dyDescent="0.35">
      <c r="A129" s="31"/>
      <c r="B129" s="31"/>
      <c r="C129" s="119"/>
      <c r="D129" s="122"/>
      <c r="E129" s="122"/>
    </row>
    <row r="130" spans="1:5" x14ac:dyDescent="0.35">
      <c r="A130" s="31"/>
      <c r="B130" s="31"/>
      <c r="C130" s="119"/>
      <c r="D130" s="122"/>
      <c r="E130" s="122"/>
    </row>
    <row r="131" spans="1:5" x14ac:dyDescent="0.35">
      <c r="A131" s="31"/>
      <c r="B131" s="31"/>
      <c r="C131" s="119"/>
      <c r="D131" s="122"/>
      <c r="E131" s="122"/>
    </row>
    <row r="132" spans="1:5" x14ac:dyDescent="0.35">
      <c r="A132" s="31"/>
      <c r="B132" s="31"/>
      <c r="C132" s="119"/>
      <c r="D132" s="122"/>
      <c r="E132" s="122"/>
    </row>
    <row r="133" spans="1:5" x14ac:dyDescent="0.35">
      <c r="A133" s="31"/>
      <c r="B133" s="31"/>
      <c r="C133" s="119"/>
      <c r="D133" s="122"/>
      <c r="E133" s="122"/>
    </row>
    <row r="134" spans="1:5" x14ac:dyDescent="0.35">
      <c r="A134" s="31"/>
      <c r="B134" s="31"/>
      <c r="C134" s="119"/>
      <c r="D134" s="122"/>
      <c r="E134" s="122"/>
    </row>
    <row r="135" spans="1:5" x14ac:dyDescent="0.35">
      <c r="A135" s="31"/>
      <c r="B135" s="31"/>
      <c r="C135" s="119"/>
      <c r="D135" s="122"/>
      <c r="E135" s="122"/>
    </row>
    <row r="136" spans="1:5" x14ac:dyDescent="0.35">
      <c r="A136" s="31"/>
      <c r="B136" s="31"/>
      <c r="C136" s="119"/>
      <c r="D136" s="122"/>
      <c r="E136" s="122"/>
    </row>
    <row r="137" spans="1:5" x14ac:dyDescent="0.35">
      <c r="A137" s="31"/>
      <c r="B137" s="31"/>
      <c r="C137" s="119"/>
      <c r="D137" s="122"/>
      <c r="E137" s="122"/>
    </row>
    <row r="138" spans="1:5" x14ac:dyDescent="0.35">
      <c r="A138" s="31"/>
      <c r="B138" s="31"/>
      <c r="C138" s="119"/>
      <c r="D138" s="122"/>
      <c r="E138" s="122"/>
    </row>
    <row r="139" spans="1:5" x14ac:dyDescent="0.35">
      <c r="A139" s="31"/>
      <c r="B139" s="31"/>
      <c r="C139" s="119"/>
      <c r="D139" s="122"/>
      <c r="E139" s="122"/>
    </row>
    <row r="140" spans="1:5" x14ac:dyDescent="0.35">
      <c r="A140" s="31"/>
      <c r="B140" s="31"/>
      <c r="C140" s="119"/>
      <c r="D140" s="122"/>
      <c r="E140" s="122"/>
    </row>
    <row r="141" spans="1:5" x14ac:dyDescent="0.35">
      <c r="A141" s="31"/>
      <c r="B141" s="31"/>
      <c r="C141" s="119"/>
      <c r="D141" s="122"/>
      <c r="E141" s="122"/>
    </row>
    <row r="142" spans="1:5" x14ac:dyDescent="0.35">
      <c r="A142" s="31"/>
      <c r="B142" s="31"/>
      <c r="C142" s="119"/>
      <c r="D142" s="122"/>
      <c r="E142" s="122"/>
    </row>
    <row r="143" spans="1:5" x14ac:dyDescent="0.35">
      <c r="A143" s="31"/>
      <c r="B143" s="31"/>
      <c r="C143" s="119"/>
      <c r="D143" s="122"/>
      <c r="E143" s="122"/>
    </row>
    <row r="144" spans="1:5" x14ac:dyDescent="0.35">
      <c r="A144" s="31"/>
      <c r="B144" s="31"/>
      <c r="C144" s="119"/>
      <c r="D144" s="122"/>
      <c r="E144" s="122"/>
    </row>
    <row r="145" spans="1:5" x14ac:dyDescent="0.35">
      <c r="A145" s="31"/>
      <c r="B145" s="31"/>
      <c r="C145" s="119"/>
      <c r="D145" s="122"/>
      <c r="E145" s="122"/>
    </row>
    <row r="146" spans="1:5" x14ac:dyDescent="0.35">
      <c r="A146" s="31"/>
      <c r="B146" s="31"/>
      <c r="C146" s="119"/>
      <c r="D146" s="122"/>
      <c r="E146" s="122"/>
    </row>
    <row r="147" spans="1:5" x14ac:dyDescent="0.35">
      <c r="A147" s="31"/>
      <c r="B147" s="31"/>
      <c r="C147" s="119"/>
      <c r="D147" s="122"/>
      <c r="E147" s="122"/>
    </row>
    <row r="148" spans="1:5" x14ac:dyDescent="0.35">
      <c r="A148" s="31"/>
      <c r="B148" s="31"/>
      <c r="C148" s="119"/>
      <c r="D148" s="122"/>
      <c r="E148" s="122"/>
    </row>
    <row r="149" spans="1:5" x14ac:dyDescent="0.35">
      <c r="A149" s="31"/>
      <c r="B149" s="31"/>
      <c r="C149" s="119"/>
      <c r="D149" s="122"/>
      <c r="E149" s="122"/>
    </row>
    <row r="150" spans="1:5" x14ac:dyDescent="0.35">
      <c r="A150" s="31"/>
      <c r="B150" s="31"/>
      <c r="C150" s="119"/>
      <c r="D150" s="122"/>
      <c r="E150" s="122"/>
    </row>
    <row r="151" spans="1:5" x14ac:dyDescent="0.35">
      <c r="A151" s="31"/>
      <c r="B151" s="31"/>
      <c r="C151" s="119"/>
      <c r="D151" s="122"/>
      <c r="E151" s="122"/>
    </row>
    <row r="152" spans="1:5" x14ac:dyDescent="0.35">
      <c r="A152" s="31"/>
      <c r="B152" s="31"/>
      <c r="C152" s="119"/>
      <c r="D152" s="122"/>
      <c r="E152" s="122"/>
    </row>
    <row r="153" spans="1:5" x14ac:dyDescent="0.35">
      <c r="A153" s="31"/>
      <c r="B153" s="31"/>
      <c r="C153" s="119"/>
      <c r="D153" s="122"/>
      <c r="E153" s="122"/>
    </row>
    <row r="154" spans="1:5" x14ac:dyDescent="0.35">
      <c r="A154" s="31"/>
      <c r="B154" s="31"/>
      <c r="C154" s="119"/>
      <c r="D154" s="122"/>
      <c r="E154" s="122"/>
    </row>
    <row r="155" spans="1:5" x14ac:dyDescent="0.35">
      <c r="A155" s="31"/>
      <c r="B155" s="31"/>
      <c r="C155" s="119"/>
      <c r="D155" s="122"/>
      <c r="E155" s="122"/>
    </row>
    <row r="156" spans="1:5" x14ac:dyDescent="0.35">
      <c r="A156" s="31"/>
      <c r="B156" s="31"/>
      <c r="C156" s="119"/>
      <c r="D156" s="122"/>
      <c r="E156" s="122"/>
    </row>
    <row r="157" spans="1:5" x14ac:dyDescent="0.35">
      <c r="A157" s="31"/>
      <c r="B157" s="31"/>
      <c r="C157" s="119"/>
      <c r="D157" s="122"/>
      <c r="E157" s="122"/>
    </row>
    <row r="158" spans="1:5" x14ac:dyDescent="0.35">
      <c r="A158" s="31"/>
      <c r="B158" s="31"/>
      <c r="C158" s="119"/>
      <c r="D158" s="122"/>
      <c r="E158" s="122"/>
    </row>
    <row r="159" spans="1:5" x14ac:dyDescent="0.35">
      <c r="A159" s="31"/>
      <c r="B159" s="31"/>
      <c r="C159" s="119"/>
      <c r="D159" s="122"/>
      <c r="E159" s="122"/>
    </row>
    <row r="160" spans="1:5" x14ac:dyDescent="0.35">
      <c r="A160" s="31"/>
      <c r="B160" s="31"/>
      <c r="C160" s="119"/>
      <c r="D160" s="122"/>
      <c r="E160" s="122"/>
    </row>
    <row r="161" spans="1:5" x14ac:dyDescent="0.35">
      <c r="A161" s="31"/>
      <c r="B161" s="31"/>
      <c r="C161" s="119"/>
      <c r="D161" s="122"/>
      <c r="E161" s="122"/>
    </row>
    <row r="162" spans="1:5" x14ac:dyDescent="0.35">
      <c r="A162" s="31"/>
      <c r="B162" s="31"/>
      <c r="C162" s="119"/>
      <c r="D162" s="122"/>
      <c r="E162" s="122"/>
    </row>
    <row r="163" spans="1:5" x14ac:dyDescent="0.35">
      <c r="A163" s="31"/>
      <c r="B163" s="31"/>
      <c r="C163" s="119"/>
      <c r="D163" s="122"/>
      <c r="E163" s="122"/>
    </row>
    <row r="164" spans="1:5" x14ac:dyDescent="0.35">
      <c r="A164" s="31"/>
      <c r="B164" s="31"/>
      <c r="C164" s="119"/>
      <c r="D164" s="122"/>
      <c r="E164" s="122"/>
    </row>
    <row r="165" spans="1:5" x14ac:dyDescent="0.35">
      <c r="A165" s="31"/>
      <c r="B165" s="31"/>
      <c r="C165" s="119"/>
      <c r="D165" s="122"/>
      <c r="E165" s="122"/>
    </row>
    <row r="166" spans="1:5" x14ac:dyDescent="0.35">
      <c r="A166" s="31"/>
      <c r="B166" s="31"/>
      <c r="C166" s="119"/>
      <c r="D166" s="122"/>
      <c r="E166" s="122"/>
    </row>
    <row r="167" spans="1:5" x14ac:dyDescent="0.35">
      <c r="A167" s="31"/>
      <c r="B167" s="31"/>
      <c r="C167" s="119"/>
      <c r="D167" s="122"/>
      <c r="E167" s="122"/>
    </row>
    <row r="168" spans="1:5" x14ac:dyDescent="0.35">
      <c r="A168" s="31"/>
      <c r="B168" s="31"/>
      <c r="C168" s="119"/>
      <c r="D168" s="122"/>
      <c r="E168" s="122"/>
    </row>
    <row r="169" spans="1:5" x14ac:dyDescent="0.35">
      <c r="A169" s="31"/>
      <c r="B169" s="31"/>
      <c r="C169" s="119"/>
      <c r="D169" s="122"/>
      <c r="E169" s="122"/>
    </row>
    <row r="170" spans="1:5" x14ac:dyDescent="0.35">
      <c r="A170" s="31"/>
      <c r="B170" s="31"/>
      <c r="C170" s="119"/>
      <c r="D170" s="122"/>
      <c r="E170" s="122"/>
    </row>
    <row r="171" spans="1:5" x14ac:dyDescent="0.35">
      <c r="A171" s="31"/>
      <c r="B171" s="31"/>
      <c r="C171" s="119"/>
      <c r="D171" s="122"/>
      <c r="E171" s="122"/>
    </row>
    <row r="172" spans="1:5" x14ac:dyDescent="0.35">
      <c r="A172" s="31"/>
      <c r="B172" s="31"/>
      <c r="C172" s="119"/>
      <c r="D172" s="122"/>
      <c r="E172" s="122"/>
    </row>
    <row r="173" spans="1:5" x14ac:dyDescent="0.35">
      <c r="A173" s="31"/>
      <c r="B173" s="31"/>
      <c r="C173" s="119"/>
      <c r="D173" s="122"/>
      <c r="E173" s="122"/>
    </row>
    <row r="174" spans="1:5" x14ac:dyDescent="0.35">
      <c r="A174" s="31"/>
      <c r="B174" s="31"/>
      <c r="C174" s="119"/>
      <c r="D174" s="122"/>
      <c r="E174" s="122"/>
    </row>
    <row r="175" spans="1:5" x14ac:dyDescent="0.35">
      <c r="A175" s="31"/>
      <c r="B175" s="31"/>
      <c r="C175" s="119"/>
      <c r="D175" s="122"/>
      <c r="E175" s="122"/>
    </row>
    <row r="176" spans="1:5" x14ac:dyDescent="0.35">
      <c r="A176" s="31"/>
      <c r="B176" s="31"/>
      <c r="C176" s="119"/>
      <c r="D176" s="122"/>
      <c r="E176" s="122"/>
    </row>
    <row r="177" spans="1:5" x14ac:dyDescent="0.35">
      <c r="A177" s="31"/>
      <c r="B177" s="31"/>
      <c r="C177" s="119"/>
      <c r="D177" s="122"/>
      <c r="E177" s="122"/>
    </row>
    <row r="178" spans="1:5" x14ac:dyDescent="0.35">
      <c r="A178" s="31"/>
      <c r="B178" s="31"/>
      <c r="C178" s="119"/>
      <c r="D178" s="122"/>
      <c r="E178" s="122"/>
    </row>
    <row r="179" spans="1:5" x14ac:dyDescent="0.35">
      <c r="A179" s="31"/>
      <c r="B179" s="31"/>
      <c r="C179" s="119"/>
      <c r="D179" s="122"/>
      <c r="E179" s="122"/>
    </row>
    <row r="180" spans="1:5" x14ac:dyDescent="0.35">
      <c r="A180" s="31"/>
      <c r="B180" s="31"/>
      <c r="C180" s="119"/>
      <c r="D180" s="122"/>
      <c r="E180" s="122"/>
    </row>
    <row r="181" spans="1:5" x14ac:dyDescent="0.35">
      <c r="A181" s="31"/>
      <c r="B181" s="31"/>
      <c r="C181" s="119"/>
      <c r="D181" s="122"/>
      <c r="E181" s="122"/>
    </row>
    <row r="182" spans="1:5" x14ac:dyDescent="0.35">
      <c r="A182" s="31"/>
      <c r="B182" s="31"/>
      <c r="C182" s="119"/>
      <c r="D182" s="122"/>
      <c r="E182" s="122"/>
    </row>
    <row r="183" spans="1:5" x14ac:dyDescent="0.35">
      <c r="A183" s="31"/>
      <c r="B183" s="31"/>
      <c r="C183" s="119"/>
      <c r="D183" s="122"/>
      <c r="E183" s="122"/>
    </row>
    <row r="184" spans="1:5" x14ac:dyDescent="0.35">
      <c r="A184" s="31"/>
      <c r="B184" s="31"/>
      <c r="C184" s="119"/>
      <c r="D184" s="122"/>
      <c r="E184" s="122"/>
    </row>
    <row r="185" spans="1:5" x14ac:dyDescent="0.35">
      <c r="A185" s="31"/>
      <c r="B185" s="31"/>
      <c r="C185" s="119"/>
      <c r="D185" s="122"/>
      <c r="E185" s="122"/>
    </row>
    <row r="186" spans="1:5" x14ac:dyDescent="0.35">
      <c r="A186" s="31"/>
      <c r="B186" s="31"/>
      <c r="C186" s="119"/>
      <c r="D186" s="122"/>
      <c r="E186" s="122"/>
    </row>
    <row r="187" spans="1:5" x14ac:dyDescent="0.35">
      <c r="A187" s="31"/>
      <c r="B187" s="31"/>
      <c r="C187" s="119"/>
      <c r="D187" s="122"/>
      <c r="E187" s="122"/>
    </row>
    <row r="188" spans="1:5" x14ac:dyDescent="0.35">
      <c r="A188" s="31"/>
      <c r="B188" s="31"/>
      <c r="C188" s="119"/>
      <c r="D188" s="122"/>
      <c r="E188" s="122"/>
    </row>
    <row r="189" spans="1:5" x14ac:dyDescent="0.35">
      <c r="A189" s="31"/>
      <c r="B189" s="31"/>
      <c r="C189" s="119"/>
      <c r="D189" s="122"/>
      <c r="E189" s="122"/>
    </row>
    <row r="190" spans="1:5" x14ac:dyDescent="0.35">
      <c r="A190" s="31"/>
      <c r="B190" s="31"/>
      <c r="C190" s="119"/>
      <c r="D190" s="122"/>
      <c r="E190" s="122"/>
    </row>
    <row r="191" spans="1:5" x14ac:dyDescent="0.35">
      <c r="A191" s="31"/>
      <c r="B191" s="31"/>
      <c r="C191" s="119"/>
      <c r="D191" s="122"/>
      <c r="E191" s="122"/>
    </row>
    <row r="192" spans="1:5" x14ac:dyDescent="0.35">
      <c r="A192" s="31"/>
      <c r="B192" s="31"/>
      <c r="C192" s="119"/>
      <c r="D192" s="122"/>
      <c r="E192" s="122"/>
    </row>
    <row r="193" spans="1:5" x14ac:dyDescent="0.35">
      <c r="A193" s="31"/>
      <c r="B193" s="31"/>
      <c r="C193" s="119"/>
      <c r="D193" s="122"/>
      <c r="E193" s="122"/>
    </row>
    <row r="194" spans="1:5" x14ac:dyDescent="0.35">
      <c r="A194" s="31"/>
      <c r="B194" s="31"/>
      <c r="C194" s="119"/>
      <c r="D194" s="122"/>
      <c r="E194" s="122"/>
    </row>
    <row r="195" spans="1:5" x14ac:dyDescent="0.35">
      <c r="A195" s="31"/>
      <c r="B195" s="31"/>
      <c r="C195" s="119"/>
      <c r="D195" s="122"/>
      <c r="E195" s="122"/>
    </row>
    <row r="196" spans="1:5" x14ac:dyDescent="0.35">
      <c r="A196" s="31"/>
      <c r="B196" s="31"/>
      <c r="C196" s="119"/>
      <c r="D196" s="122"/>
      <c r="E196" s="122"/>
    </row>
    <row r="197" spans="1:5" x14ac:dyDescent="0.35">
      <c r="A197" s="31"/>
      <c r="B197" s="31"/>
      <c r="C197" s="119"/>
      <c r="D197" s="122"/>
      <c r="E197" s="122"/>
    </row>
    <row r="198" spans="1:5" x14ac:dyDescent="0.35">
      <c r="A198" s="31"/>
      <c r="B198" s="31"/>
      <c r="C198" s="119"/>
      <c r="D198" s="122"/>
      <c r="E198" s="122"/>
    </row>
    <row r="199" spans="1:5" x14ac:dyDescent="0.35">
      <c r="A199" s="31"/>
      <c r="B199" s="31"/>
      <c r="C199" s="119"/>
      <c r="D199" s="122"/>
      <c r="E199" s="122"/>
    </row>
    <row r="200" spans="1:5" x14ac:dyDescent="0.35">
      <c r="A200" s="31"/>
      <c r="B200" s="31"/>
      <c r="C200" s="119"/>
      <c r="D200" s="122"/>
      <c r="E200" s="122"/>
    </row>
    <row r="201" spans="1:5" x14ac:dyDescent="0.35">
      <c r="A201" s="31"/>
      <c r="B201" s="31"/>
      <c r="C201" s="119"/>
      <c r="D201" s="122"/>
      <c r="E201" s="122"/>
    </row>
    <row r="202" spans="1:5" x14ac:dyDescent="0.35">
      <c r="A202" s="31"/>
      <c r="B202" s="31"/>
      <c r="C202" s="119"/>
      <c r="D202" s="122"/>
      <c r="E202" s="122"/>
    </row>
    <row r="203" spans="1:5" x14ac:dyDescent="0.35">
      <c r="A203" s="31"/>
      <c r="B203" s="31"/>
      <c r="C203" s="119"/>
      <c r="D203" s="122"/>
      <c r="E203" s="122"/>
    </row>
    <row r="204" spans="1:5" x14ac:dyDescent="0.35">
      <c r="A204" s="31"/>
      <c r="B204" s="31"/>
      <c r="C204" s="119"/>
      <c r="D204" s="122"/>
      <c r="E204" s="122"/>
    </row>
    <row r="205" spans="1:5" x14ac:dyDescent="0.35">
      <c r="A205" s="31"/>
      <c r="B205" s="31"/>
      <c r="C205" s="119"/>
      <c r="D205" s="122"/>
      <c r="E205" s="122"/>
    </row>
    <row r="206" spans="1:5" x14ac:dyDescent="0.35">
      <c r="A206" s="31"/>
      <c r="B206" s="31"/>
      <c r="C206" s="119"/>
      <c r="D206" s="122"/>
      <c r="E206" s="122"/>
    </row>
    <row r="207" spans="1:5" x14ac:dyDescent="0.35">
      <c r="A207" s="31"/>
      <c r="B207" s="31"/>
      <c r="C207" s="119"/>
      <c r="D207" s="122"/>
      <c r="E207" s="122"/>
    </row>
    <row r="208" spans="1:5" x14ac:dyDescent="0.35">
      <c r="A208" s="31"/>
      <c r="B208" s="31"/>
      <c r="C208" s="119"/>
      <c r="D208" s="122"/>
      <c r="E208" s="122"/>
    </row>
    <row r="209" spans="1:5" x14ac:dyDescent="0.35">
      <c r="A209" s="31"/>
      <c r="B209" s="31"/>
      <c r="C209" s="119"/>
      <c r="D209" s="122"/>
      <c r="E209" s="122"/>
    </row>
    <row r="210" spans="1:5" x14ac:dyDescent="0.35">
      <c r="A210" s="31"/>
      <c r="B210" s="31"/>
      <c r="C210" s="119"/>
      <c r="D210" s="122"/>
      <c r="E210" s="122"/>
    </row>
    <row r="211" spans="1:5" x14ac:dyDescent="0.35">
      <c r="A211" s="31"/>
      <c r="B211" s="31"/>
      <c r="C211" s="119"/>
      <c r="D211" s="122"/>
      <c r="E211" s="122"/>
    </row>
    <row r="212" spans="1:5" x14ac:dyDescent="0.35">
      <c r="A212" s="31"/>
      <c r="B212" s="31"/>
      <c r="C212" s="119"/>
      <c r="D212" s="122"/>
      <c r="E212" s="122"/>
    </row>
    <row r="213" spans="1:5" x14ac:dyDescent="0.35">
      <c r="A213" s="31"/>
      <c r="B213" s="31"/>
      <c r="C213" s="119"/>
      <c r="D213" s="122"/>
      <c r="E213" s="122"/>
    </row>
    <row r="214" spans="1:5" x14ac:dyDescent="0.35">
      <c r="A214" s="31"/>
      <c r="B214" s="31"/>
      <c r="C214" s="119"/>
      <c r="D214" s="122"/>
      <c r="E214" s="122"/>
    </row>
    <row r="215" spans="1:5" x14ac:dyDescent="0.35">
      <c r="A215" s="31"/>
      <c r="B215" s="31"/>
      <c r="C215" s="119"/>
      <c r="D215" s="122"/>
      <c r="E215" s="122"/>
    </row>
    <row r="216" spans="1:5" x14ac:dyDescent="0.35">
      <c r="A216" s="31"/>
      <c r="B216" s="31"/>
      <c r="C216" s="119"/>
      <c r="D216" s="122"/>
      <c r="E216" s="122"/>
    </row>
    <row r="217" spans="1:5" x14ac:dyDescent="0.35">
      <c r="A217" s="31"/>
      <c r="B217" s="31"/>
      <c r="C217" s="119"/>
      <c r="D217" s="122"/>
      <c r="E217" s="122"/>
    </row>
    <row r="218" spans="1:5" x14ac:dyDescent="0.35">
      <c r="A218" s="31"/>
      <c r="B218" s="31"/>
      <c r="C218" s="119"/>
      <c r="D218" s="122"/>
      <c r="E218" s="122"/>
    </row>
    <row r="219" spans="1:5" x14ac:dyDescent="0.35">
      <c r="A219" s="31"/>
      <c r="B219" s="31"/>
      <c r="C219" s="119"/>
      <c r="D219" s="122"/>
      <c r="E219" s="122"/>
    </row>
    <row r="220" spans="1:5" x14ac:dyDescent="0.35">
      <c r="A220" s="31"/>
      <c r="B220" s="31"/>
      <c r="C220" s="119"/>
      <c r="D220" s="122"/>
      <c r="E220" s="122"/>
    </row>
    <row r="221" spans="1:5" x14ac:dyDescent="0.35">
      <c r="A221" s="31"/>
      <c r="B221" s="31"/>
      <c r="C221" s="119"/>
      <c r="D221" s="122"/>
      <c r="E221" s="122"/>
    </row>
    <row r="222" spans="1:5" x14ac:dyDescent="0.35">
      <c r="A222" s="31"/>
      <c r="B222" s="31"/>
      <c r="C222" s="119"/>
      <c r="D222" s="122"/>
      <c r="E222" s="122"/>
    </row>
    <row r="223" spans="1:5" x14ac:dyDescent="0.35">
      <c r="A223" s="31"/>
      <c r="B223" s="31"/>
      <c r="C223" s="119"/>
      <c r="D223" s="122"/>
      <c r="E223" s="122"/>
    </row>
    <row r="224" spans="1:5" x14ac:dyDescent="0.35">
      <c r="A224" s="31"/>
      <c r="B224" s="31"/>
      <c r="C224" s="119"/>
      <c r="D224" s="122"/>
      <c r="E224" s="122"/>
    </row>
    <row r="225" spans="1:5" x14ac:dyDescent="0.35">
      <c r="A225" s="31"/>
      <c r="B225" s="31"/>
      <c r="C225" s="119"/>
      <c r="D225" s="122"/>
      <c r="E225" s="122"/>
    </row>
    <row r="226" spans="1:5" x14ac:dyDescent="0.35">
      <c r="A226" s="31"/>
      <c r="B226" s="31"/>
      <c r="C226" s="119"/>
      <c r="D226" s="122"/>
      <c r="E226" s="122"/>
    </row>
    <row r="227" spans="1:5" x14ac:dyDescent="0.35">
      <c r="A227" s="31"/>
      <c r="B227" s="31"/>
      <c r="C227" s="119"/>
      <c r="D227" s="122"/>
      <c r="E227" s="122"/>
    </row>
    <row r="228" spans="1:5" x14ac:dyDescent="0.35">
      <c r="A228" s="31"/>
      <c r="B228" s="31"/>
      <c r="C228" s="119"/>
      <c r="D228" s="122"/>
      <c r="E228" s="122"/>
    </row>
    <row r="229" spans="1:5" x14ac:dyDescent="0.35">
      <c r="A229" s="31"/>
      <c r="B229" s="31"/>
      <c r="C229" s="119"/>
      <c r="D229" s="122"/>
      <c r="E229" s="122"/>
    </row>
    <row r="230" spans="1:5" x14ac:dyDescent="0.35">
      <c r="A230" s="31"/>
      <c r="B230" s="31"/>
      <c r="C230" s="119"/>
      <c r="D230" s="122"/>
      <c r="E230" s="122"/>
    </row>
    <row r="231" spans="1:5" x14ac:dyDescent="0.35">
      <c r="A231" s="31"/>
      <c r="B231" s="31"/>
      <c r="C231" s="119"/>
      <c r="D231" s="122"/>
      <c r="E231" s="122"/>
    </row>
    <row r="232" spans="1:5" x14ac:dyDescent="0.35">
      <c r="A232" s="31"/>
      <c r="B232" s="31"/>
      <c r="C232" s="119"/>
      <c r="D232" s="122"/>
      <c r="E232" s="122"/>
    </row>
    <row r="233" spans="1:5" x14ac:dyDescent="0.35">
      <c r="A233" s="31"/>
      <c r="B233" s="31"/>
      <c r="C233" s="119"/>
      <c r="D233" s="122"/>
      <c r="E233" s="122"/>
    </row>
    <row r="234" spans="1:5" x14ac:dyDescent="0.35">
      <c r="A234" s="31"/>
      <c r="B234" s="31"/>
      <c r="C234" s="119"/>
      <c r="D234" s="122"/>
      <c r="E234" s="122"/>
    </row>
    <row r="235" spans="1:5" x14ac:dyDescent="0.35">
      <c r="A235" s="31"/>
      <c r="B235" s="31"/>
      <c r="C235" s="119"/>
      <c r="D235" s="122"/>
      <c r="E235" s="122"/>
    </row>
    <row r="236" spans="1:5" x14ac:dyDescent="0.35">
      <c r="A236" s="31"/>
      <c r="B236" s="31"/>
      <c r="C236" s="119"/>
      <c r="D236" s="122"/>
      <c r="E236" s="122"/>
    </row>
    <row r="237" spans="1:5" x14ac:dyDescent="0.35">
      <c r="A237" s="31"/>
      <c r="B237" s="31"/>
      <c r="C237" s="119"/>
      <c r="D237" s="122"/>
      <c r="E237" s="122"/>
    </row>
    <row r="238" spans="1:5" x14ac:dyDescent="0.35">
      <c r="A238" s="31"/>
      <c r="B238" s="31"/>
      <c r="C238" s="119"/>
      <c r="D238" s="122"/>
      <c r="E238" s="122"/>
    </row>
    <row r="239" spans="1:5" x14ac:dyDescent="0.35">
      <c r="A239" s="31"/>
      <c r="B239" s="31"/>
      <c r="C239" s="119"/>
      <c r="D239" s="122"/>
      <c r="E239" s="122"/>
    </row>
    <row r="240" spans="1:5" x14ac:dyDescent="0.35">
      <c r="A240" s="31"/>
      <c r="B240" s="31"/>
      <c r="C240" s="119"/>
      <c r="D240" s="122"/>
      <c r="E240" s="122"/>
    </row>
    <row r="241" spans="1:5" x14ac:dyDescent="0.35">
      <c r="A241" s="31"/>
      <c r="B241" s="31"/>
      <c r="C241" s="119"/>
      <c r="D241" s="122"/>
      <c r="E241" s="122"/>
    </row>
    <row r="242" spans="1:5" x14ac:dyDescent="0.35">
      <c r="A242" s="31"/>
      <c r="B242" s="31"/>
      <c r="C242" s="119"/>
      <c r="D242" s="122"/>
      <c r="E242" s="122"/>
    </row>
    <row r="243" spans="1:5" x14ac:dyDescent="0.35">
      <c r="A243" s="31"/>
      <c r="B243" s="31"/>
      <c r="C243" s="119"/>
      <c r="D243" s="122"/>
      <c r="E243" s="122"/>
    </row>
    <row r="244" spans="1:5" x14ac:dyDescent="0.35">
      <c r="A244" s="31"/>
      <c r="B244" s="31"/>
      <c r="C244" s="119"/>
      <c r="D244" s="122"/>
      <c r="E244" s="122"/>
    </row>
    <row r="245" spans="1:5" x14ac:dyDescent="0.35">
      <c r="A245" s="31"/>
      <c r="B245" s="31"/>
      <c r="C245" s="119"/>
      <c r="D245" s="122"/>
      <c r="E245" s="122"/>
    </row>
    <row r="246" spans="1:5" x14ac:dyDescent="0.35">
      <c r="A246" s="31"/>
      <c r="B246" s="31"/>
      <c r="C246" s="119"/>
      <c r="D246" s="122"/>
      <c r="E246" s="122"/>
    </row>
    <row r="247" spans="1:5" x14ac:dyDescent="0.35">
      <c r="A247" s="31"/>
      <c r="B247" s="31"/>
      <c r="C247" s="119"/>
      <c r="D247" s="122"/>
      <c r="E247" s="122"/>
    </row>
    <row r="248" spans="1:5" x14ac:dyDescent="0.35">
      <c r="A248" s="31"/>
      <c r="B248" s="31"/>
      <c r="C248" s="119"/>
      <c r="D248" s="122"/>
      <c r="E248" s="122"/>
    </row>
    <row r="249" spans="1:5" x14ac:dyDescent="0.35">
      <c r="A249" s="31"/>
      <c r="B249" s="31"/>
      <c r="C249" s="119"/>
      <c r="D249" s="122"/>
      <c r="E249" s="122"/>
    </row>
    <row r="250" spans="1:5" x14ac:dyDescent="0.35">
      <c r="A250" s="31"/>
      <c r="B250" s="31"/>
      <c r="C250" s="119"/>
      <c r="D250" s="122"/>
      <c r="E250" s="122"/>
    </row>
    <row r="251" spans="1:5" x14ac:dyDescent="0.35">
      <c r="A251" s="31"/>
      <c r="B251" s="31"/>
      <c r="C251" s="119"/>
      <c r="D251" s="122"/>
      <c r="E251" s="122"/>
    </row>
    <row r="252" spans="1:5" x14ac:dyDescent="0.35">
      <c r="A252" s="31"/>
      <c r="B252" s="31"/>
      <c r="C252" s="119"/>
      <c r="D252" s="122"/>
      <c r="E252" s="122"/>
    </row>
    <row r="253" spans="1:5" x14ac:dyDescent="0.35">
      <c r="A253" s="31"/>
      <c r="B253" s="31"/>
      <c r="C253" s="119"/>
      <c r="D253" s="122"/>
      <c r="E253" s="122"/>
    </row>
    <row r="254" spans="1:5" x14ac:dyDescent="0.35">
      <c r="A254" s="31"/>
      <c r="B254" s="31"/>
      <c r="C254" s="119"/>
      <c r="D254" s="122"/>
      <c r="E254" s="122"/>
    </row>
    <row r="255" spans="1:5" x14ac:dyDescent="0.35">
      <c r="A255" s="31"/>
      <c r="B255" s="31"/>
      <c r="C255" s="119"/>
      <c r="D255" s="122"/>
      <c r="E255" s="122"/>
    </row>
    <row r="256" spans="1:5" x14ac:dyDescent="0.35">
      <c r="A256" s="31"/>
      <c r="B256" s="31"/>
      <c r="C256" s="119"/>
      <c r="D256" s="122"/>
      <c r="E256" s="122"/>
    </row>
    <row r="257" spans="1:5" x14ac:dyDescent="0.35">
      <c r="A257" s="31"/>
      <c r="B257" s="31"/>
      <c r="C257" s="119"/>
      <c r="D257" s="122"/>
      <c r="E257" s="122"/>
    </row>
    <row r="258" spans="1:5" x14ac:dyDescent="0.35">
      <c r="A258" s="31"/>
      <c r="B258" s="31"/>
      <c r="C258" s="119"/>
      <c r="D258" s="122"/>
      <c r="E258" s="122"/>
    </row>
    <row r="259" spans="1:5" x14ac:dyDescent="0.35">
      <c r="A259" s="31"/>
      <c r="B259" s="31"/>
      <c r="C259" s="119"/>
      <c r="D259" s="122"/>
      <c r="E259" s="122"/>
    </row>
    <row r="260" spans="1:5" x14ac:dyDescent="0.35">
      <c r="A260" s="31"/>
      <c r="B260" s="31"/>
      <c r="C260" s="119"/>
      <c r="D260" s="122"/>
      <c r="E260" s="122"/>
    </row>
    <row r="261" spans="1:5" x14ac:dyDescent="0.35">
      <c r="A261" s="31"/>
      <c r="B261" s="31"/>
      <c r="C261" s="119"/>
      <c r="D261" s="122"/>
      <c r="E261" s="122"/>
    </row>
    <row r="262" spans="1:5" x14ac:dyDescent="0.35">
      <c r="A262" s="31"/>
      <c r="B262" s="31"/>
      <c r="C262" s="119"/>
      <c r="D262" s="122"/>
      <c r="E262" s="122"/>
    </row>
    <row r="263" spans="1:5" x14ac:dyDescent="0.35">
      <c r="A263" s="31"/>
      <c r="B263" s="31"/>
      <c r="C263" s="119"/>
      <c r="D263" s="122"/>
      <c r="E263" s="122"/>
    </row>
    <row r="264" spans="1:5" x14ac:dyDescent="0.35">
      <c r="A264" s="31"/>
      <c r="B264" s="31"/>
      <c r="C264" s="119"/>
      <c r="D264" s="122"/>
      <c r="E264" s="122"/>
    </row>
    <row r="265" spans="1:5" x14ac:dyDescent="0.35">
      <c r="A265" s="31"/>
      <c r="B265" s="31"/>
      <c r="C265" s="119"/>
      <c r="D265" s="122"/>
      <c r="E265" s="122"/>
    </row>
    <row r="266" spans="1:5" x14ac:dyDescent="0.35">
      <c r="A266" s="31"/>
      <c r="B266" s="31"/>
      <c r="C266" s="119"/>
      <c r="D266" s="122"/>
      <c r="E266" s="122"/>
    </row>
    <row r="267" spans="1:5" x14ac:dyDescent="0.35">
      <c r="A267" s="31"/>
      <c r="B267" s="31"/>
      <c r="C267" s="119"/>
      <c r="D267" s="122"/>
      <c r="E267" s="122"/>
    </row>
    <row r="268" spans="1:5" x14ac:dyDescent="0.35">
      <c r="A268" s="31"/>
      <c r="B268" s="31"/>
      <c r="C268" s="119"/>
      <c r="D268" s="122"/>
      <c r="E268" s="122"/>
    </row>
    <row r="269" spans="1:5" x14ac:dyDescent="0.35">
      <c r="A269" s="31"/>
      <c r="B269" s="31"/>
      <c r="C269" s="119"/>
      <c r="D269" s="122"/>
      <c r="E269" s="122"/>
    </row>
    <row r="270" spans="1:5" x14ac:dyDescent="0.35">
      <c r="A270" s="31"/>
      <c r="B270" s="31"/>
      <c r="C270" s="119"/>
      <c r="D270" s="122"/>
      <c r="E270" s="122"/>
    </row>
    <row r="271" spans="1:5" x14ac:dyDescent="0.35">
      <c r="A271" s="31"/>
      <c r="B271" s="31"/>
      <c r="C271" s="119"/>
      <c r="D271" s="122"/>
      <c r="E271" s="122"/>
    </row>
    <row r="272" spans="1:5" x14ac:dyDescent="0.35">
      <c r="A272" s="31"/>
      <c r="B272" s="31"/>
      <c r="C272" s="119"/>
      <c r="D272" s="122"/>
      <c r="E272" s="122"/>
    </row>
    <row r="273" spans="1:5" x14ac:dyDescent="0.35">
      <c r="A273" s="31"/>
      <c r="B273" s="31"/>
      <c r="C273" s="119"/>
      <c r="D273" s="122"/>
      <c r="E273" s="122"/>
    </row>
    <row r="274" spans="1:5" x14ac:dyDescent="0.35">
      <c r="A274" s="31"/>
      <c r="B274" s="31"/>
      <c r="C274" s="119"/>
      <c r="D274" s="122"/>
      <c r="E274" s="122"/>
    </row>
    <row r="275" spans="1:5" x14ac:dyDescent="0.35">
      <c r="A275" s="31"/>
      <c r="B275" s="31"/>
      <c r="C275" s="119"/>
      <c r="D275" s="122"/>
      <c r="E275" s="122"/>
    </row>
    <row r="276" spans="1:5" x14ac:dyDescent="0.35">
      <c r="A276" s="31"/>
      <c r="B276" s="31"/>
      <c r="C276" s="119"/>
      <c r="D276" s="122"/>
      <c r="E276" s="122"/>
    </row>
    <row r="277" spans="1:5" x14ac:dyDescent="0.35">
      <c r="A277" s="31"/>
      <c r="B277" s="31"/>
      <c r="C277" s="119"/>
      <c r="D277" s="122"/>
      <c r="E277" s="122"/>
    </row>
    <row r="278" spans="1:5" x14ac:dyDescent="0.35">
      <c r="A278" s="31"/>
      <c r="B278" s="31"/>
      <c r="C278" s="119"/>
      <c r="D278" s="122"/>
      <c r="E278" s="122"/>
    </row>
    <row r="279" spans="1:5" x14ac:dyDescent="0.35">
      <c r="A279" s="31"/>
      <c r="B279" s="31"/>
      <c r="C279" s="119"/>
      <c r="D279" s="122"/>
      <c r="E279" s="122"/>
    </row>
    <row r="280" spans="1:5" x14ac:dyDescent="0.35">
      <c r="A280" s="31"/>
      <c r="B280" s="31"/>
      <c r="C280" s="119"/>
      <c r="D280" s="122"/>
      <c r="E280" s="122"/>
    </row>
    <row r="281" spans="1:5" x14ac:dyDescent="0.35">
      <c r="A281" s="31"/>
      <c r="B281" s="31"/>
      <c r="C281" s="119"/>
      <c r="D281" s="122"/>
      <c r="E281" s="122"/>
    </row>
    <row r="282" spans="1:5" x14ac:dyDescent="0.35">
      <c r="A282" s="31"/>
      <c r="B282" s="31"/>
      <c r="C282" s="119"/>
      <c r="D282" s="122"/>
      <c r="E282" s="122"/>
    </row>
    <row r="283" spans="1:5" x14ac:dyDescent="0.35">
      <c r="A283" s="31"/>
      <c r="B283" s="31"/>
      <c r="C283" s="119"/>
      <c r="D283" s="122"/>
      <c r="E283" s="122"/>
    </row>
    <row r="284" spans="1:5" x14ac:dyDescent="0.35">
      <c r="A284" s="31"/>
      <c r="B284" s="31"/>
      <c r="C284" s="119"/>
      <c r="D284" s="122"/>
      <c r="E284" s="122"/>
    </row>
    <row r="285" spans="1:5" x14ac:dyDescent="0.35">
      <c r="A285" s="31"/>
      <c r="B285" s="31"/>
      <c r="C285" s="119"/>
      <c r="D285" s="122"/>
      <c r="E285" s="122"/>
    </row>
    <row r="286" spans="1:5" x14ac:dyDescent="0.35">
      <c r="A286" s="31"/>
      <c r="B286" s="31"/>
      <c r="C286" s="119"/>
      <c r="D286" s="122"/>
      <c r="E286" s="122"/>
    </row>
    <row r="287" spans="1:5" x14ac:dyDescent="0.35">
      <c r="A287" s="31"/>
      <c r="B287" s="31"/>
      <c r="C287" s="119"/>
      <c r="D287" s="122"/>
      <c r="E287" s="122"/>
    </row>
    <row r="288" spans="1:5" x14ac:dyDescent="0.35">
      <c r="A288" s="31"/>
      <c r="B288" s="31"/>
      <c r="C288" s="119"/>
      <c r="D288" s="122"/>
      <c r="E288" s="122"/>
    </row>
    <row r="289" spans="1:5" x14ac:dyDescent="0.35">
      <c r="A289" s="31"/>
      <c r="B289" s="31"/>
      <c r="C289" s="119"/>
      <c r="D289" s="122"/>
      <c r="E289" s="122"/>
    </row>
    <row r="290" spans="1:5" x14ac:dyDescent="0.35">
      <c r="A290" s="31"/>
      <c r="B290" s="31"/>
      <c r="C290" s="119"/>
      <c r="D290" s="122"/>
      <c r="E290" s="122"/>
    </row>
    <row r="291" spans="1:5" x14ac:dyDescent="0.35">
      <c r="A291" s="31"/>
      <c r="B291" s="31"/>
      <c r="C291" s="119"/>
      <c r="D291" s="122"/>
      <c r="E291" s="122"/>
    </row>
    <row r="292" spans="1:5" x14ac:dyDescent="0.35">
      <c r="A292" s="31"/>
      <c r="B292" s="31"/>
      <c r="C292" s="119"/>
      <c r="D292" s="122"/>
      <c r="E292" s="122"/>
    </row>
    <row r="293" spans="1:5" x14ac:dyDescent="0.35">
      <c r="A293" s="31"/>
      <c r="B293" s="31"/>
      <c r="C293" s="119"/>
      <c r="D293" s="122"/>
      <c r="E293" s="122"/>
    </row>
    <row r="294" spans="1:5" x14ac:dyDescent="0.35">
      <c r="A294" s="31"/>
      <c r="B294" s="31"/>
      <c r="C294" s="119"/>
      <c r="D294" s="122"/>
      <c r="E294" s="122"/>
    </row>
    <row r="295" spans="1:5" x14ac:dyDescent="0.35">
      <c r="A295" s="31"/>
      <c r="B295" s="31"/>
      <c r="C295" s="119"/>
      <c r="D295" s="122"/>
      <c r="E295" s="122"/>
    </row>
    <row r="296" spans="1:5" x14ac:dyDescent="0.35">
      <c r="A296" s="31"/>
      <c r="B296" s="31"/>
      <c r="C296" s="119"/>
      <c r="D296" s="122"/>
      <c r="E296" s="122"/>
    </row>
    <row r="297" spans="1:5" x14ac:dyDescent="0.35">
      <c r="A297" s="31"/>
      <c r="B297" s="31"/>
      <c r="C297" s="119"/>
      <c r="D297" s="122"/>
      <c r="E297" s="122"/>
    </row>
    <row r="298" spans="1:5" x14ac:dyDescent="0.35">
      <c r="A298" s="31"/>
      <c r="B298" s="31"/>
      <c r="C298" s="119"/>
      <c r="D298" s="122"/>
      <c r="E298" s="122"/>
    </row>
    <row r="299" spans="1:5" x14ac:dyDescent="0.35">
      <c r="A299" s="31"/>
      <c r="B299" s="31"/>
      <c r="C299" s="119"/>
      <c r="D299" s="122"/>
      <c r="E299" s="122"/>
    </row>
    <row r="300" spans="1:5" x14ac:dyDescent="0.35">
      <c r="A300" s="31"/>
      <c r="B300" s="31"/>
      <c r="C300" s="119"/>
      <c r="D300" s="122"/>
      <c r="E300" s="122"/>
    </row>
    <row r="301" spans="1:5" x14ac:dyDescent="0.35">
      <c r="A301" s="31"/>
      <c r="B301" s="31"/>
      <c r="C301" s="119"/>
      <c r="D301" s="122"/>
      <c r="E301" s="122"/>
    </row>
    <row r="302" spans="1:5" x14ac:dyDescent="0.35">
      <c r="A302" s="31"/>
      <c r="B302" s="31"/>
      <c r="C302" s="119"/>
      <c r="D302" s="122"/>
      <c r="E302" s="122"/>
    </row>
    <row r="303" spans="1:5" x14ac:dyDescent="0.35">
      <c r="A303" s="31"/>
      <c r="B303" s="31"/>
      <c r="C303" s="119"/>
      <c r="D303" s="122"/>
      <c r="E303" s="122"/>
    </row>
    <row r="304" spans="1:5" x14ac:dyDescent="0.35">
      <c r="A304" s="31"/>
      <c r="B304" s="31"/>
      <c r="C304" s="119"/>
      <c r="D304" s="122"/>
      <c r="E304" s="122"/>
    </row>
    <row r="305" spans="1:5" x14ac:dyDescent="0.35">
      <c r="A305" s="31"/>
      <c r="B305" s="31"/>
      <c r="C305" s="119"/>
      <c r="D305" s="122"/>
      <c r="E305" s="122"/>
    </row>
    <row r="306" spans="1:5" x14ac:dyDescent="0.35">
      <c r="A306" s="31"/>
      <c r="B306" s="31"/>
      <c r="C306" s="119"/>
      <c r="D306" s="122"/>
      <c r="E306" s="122"/>
    </row>
    <row r="307" spans="1:5" x14ac:dyDescent="0.35">
      <c r="A307" s="31"/>
      <c r="B307" s="31"/>
      <c r="C307" s="119"/>
      <c r="D307" s="122"/>
      <c r="E307" s="122"/>
    </row>
    <row r="308" spans="1:5" x14ac:dyDescent="0.35">
      <c r="A308" s="31"/>
      <c r="B308" s="31"/>
      <c r="C308" s="119"/>
      <c r="D308" s="122"/>
      <c r="E308" s="122"/>
    </row>
    <row r="309" spans="1:5" x14ac:dyDescent="0.35">
      <c r="A309" s="31"/>
      <c r="B309" s="31"/>
      <c r="C309" s="119"/>
      <c r="D309" s="122"/>
      <c r="E309" s="122"/>
    </row>
    <row r="310" spans="1:5" x14ac:dyDescent="0.35">
      <c r="A310" s="31"/>
      <c r="B310" s="31"/>
      <c r="C310" s="119"/>
      <c r="D310" s="122"/>
      <c r="E310" s="122"/>
    </row>
    <row r="311" spans="1:5" x14ac:dyDescent="0.35">
      <c r="A311" s="31"/>
      <c r="B311" s="31"/>
      <c r="C311" s="119"/>
      <c r="D311" s="122"/>
      <c r="E311" s="122"/>
    </row>
    <row r="312" spans="1:5" x14ac:dyDescent="0.35">
      <c r="A312" s="31"/>
      <c r="B312" s="31"/>
      <c r="C312" s="119"/>
      <c r="D312" s="122"/>
      <c r="E312" s="122"/>
    </row>
    <row r="313" spans="1:5" x14ac:dyDescent="0.35">
      <c r="A313" s="31"/>
      <c r="B313" s="31"/>
      <c r="C313" s="119"/>
      <c r="D313" s="122"/>
      <c r="E313" s="122"/>
    </row>
    <row r="314" spans="1:5" x14ac:dyDescent="0.35">
      <c r="A314" s="31"/>
      <c r="B314" s="31"/>
      <c r="C314" s="119"/>
      <c r="D314" s="122"/>
      <c r="E314" s="122"/>
    </row>
    <row r="315" spans="1:5" x14ac:dyDescent="0.35">
      <c r="A315" s="31"/>
      <c r="B315" s="31"/>
      <c r="C315" s="119"/>
      <c r="D315" s="122"/>
      <c r="E315" s="122"/>
    </row>
    <row r="316" spans="1:5" x14ac:dyDescent="0.35">
      <c r="A316" s="31"/>
      <c r="B316" s="31"/>
      <c r="C316" s="119"/>
      <c r="D316" s="122"/>
      <c r="E316" s="122"/>
    </row>
    <row r="317" spans="1:5" x14ac:dyDescent="0.35">
      <c r="A317" s="31"/>
      <c r="B317" s="31"/>
      <c r="C317" s="119"/>
      <c r="D317" s="122"/>
      <c r="E317" s="122"/>
    </row>
    <row r="318" spans="1:5" x14ac:dyDescent="0.35">
      <c r="A318" s="31"/>
      <c r="B318" s="31"/>
      <c r="C318" s="119"/>
      <c r="D318" s="122"/>
      <c r="E318" s="122"/>
    </row>
    <row r="319" spans="1:5" x14ac:dyDescent="0.35">
      <c r="A319" s="31"/>
      <c r="B319" s="31"/>
      <c r="C319" s="119"/>
      <c r="D319" s="122"/>
      <c r="E319" s="122"/>
    </row>
    <row r="320" spans="1:5" x14ac:dyDescent="0.35">
      <c r="A320" s="31"/>
      <c r="B320" s="31"/>
      <c r="C320" s="119"/>
      <c r="D320" s="122"/>
      <c r="E320" s="122"/>
    </row>
    <row r="321" spans="1:5" x14ac:dyDescent="0.35">
      <c r="A321" s="31"/>
      <c r="B321" s="31"/>
      <c r="C321" s="119"/>
      <c r="D321" s="122"/>
      <c r="E321" s="122"/>
    </row>
    <row r="322" spans="1:5" x14ac:dyDescent="0.35">
      <c r="A322" s="31"/>
      <c r="B322" s="31"/>
      <c r="C322" s="119"/>
      <c r="D322" s="122"/>
      <c r="E322" s="122"/>
    </row>
    <row r="323" spans="1:5" x14ac:dyDescent="0.35">
      <c r="A323" s="31"/>
      <c r="B323" s="31"/>
      <c r="C323" s="119"/>
      <c r="D323" s="122"/>
      <c r="E323" s="122"/>
    </row>
    <row r="324" spans="1:5" x14ac:dyDescent="0.35">
      <c r="A324" s="31"/>
      <c r="B324" s="31"/>
      <c r="C324" s="119"/>
      <c r="D324" s="122"/>
      <c r="E324" s="122"/>
    </row>
    <row r="325" spans="1:5" x14ac:dyDescent="0.35">
      <c r="A325" s="31"/>
      <c r="B325" s="31"/>
      <c r="C325" s="119"/>
      <c r="D325" s="122"/>
      <c r="E325" s="122"/>
    </row>
    <row r="326" spans="1:5" x14ac:dyDescent="0.35">
      <c r="A326" s="31"/>
      <c r="B326" s="31"/>
      <c r="C326" s="119"/>
      <c r="D326" s="122"/>
      <c r="E326" s="122"/>
    </row>
    <row r="327" spans="1:5" x14ac:dyDescent="0.35">
      <c r="A327" s="31"/>
      <c r="B327" s="31"/>
      <c r="C327" s="119"/>
      <c r="D327" s="122"/>
      <c r="E327" s="122"/>
    </row>
    <row r="328" spans="1:5" x14ac:dyDescent="0.35">
      <c r="A328" s="31"/>
      <c r="B328" s="31"/>
      <c r="C328" s="119"/>
      <c r="D328" s="122"/>
      <c r="E328" s="122"/>
    </row>
    <row r="329" spans="1:5" x14ac:dyDescent="0.35">
      <c r="A329" s="31"/>
      <c r="B329" s="31"/>
      <c r="C329" s="119"/>
      <c r="D329" s="122"/>
      <c r="E329" s="122"/>
    </row>
    <row r="330" spans="1:5" x14ac:dyDescent="0.35">
      <c r="A330" s="31"/>
      <c r="B330" s="31"/>
      <c r="C330" s="119"/>
      <c r="D330" s="122"/>
      <c r="E330" s="122"/>
    </row>
    <row r="331" spans="1:5" x14ac:dyDescent="0.35">
      <c r="A331" s="31"/>
      <c r="B331" s="31"/>
      <c r="C331" s="119"/>
      <c r="D331" s="122"/>
      <c r="E331" s="122"/>
    </row>
    <row r="332" spans="1:5" x14ac:dyDescent="0.35">
      <c r="A332" s="31"/>
      <c r="B332" s="31"/>
      <c r="C332" s="119"/>
      <c r="D332" s="122"/>
      <c r="E332" s="122"/>
    </row>
    <row r="333" spans="1:5" x14ac:dyDescent="0.35">
      <c r="A333" s="31"/>
      <c r="B333" s="31"/>
      <c r="C333" s="119"/>
      <c r="D333" s="122"/>
      <c r="E333" s="122"/>
    </row>
    <row r="334" spans="1:5" x14ac:dyDescent="0.35">
      <c r="A334" s="31"/>
      <c r="B334" s="31"/>
      <c r="C334" s="119"/>
      <c r="D334" s="122"/>
      <c r="E334" s="122"/>
    </row>
    <row r="335" spans="1:5" x14ac:dyDescent="0.35">
      <c r="A335" s="31"/>
      <c r="B335" s="31"/>
      <c r="C335" s="119"/>
      <c r="D335" s="122"/>
      <c r="E335" s="122"/>
    </row>
    <row r="336" spans="1:5" x14ac:dyDescent="0.35">
      <c r="A336" s="31"/>
      <c r="B336" s="31"/>
      <c r="C336" s="119"/>
      <c r="D336" s="122"/>
      <c r="E336" s="122"/>
    </row>
    <row r="337" spans="1:5" x14ac:dyDescent="0.35">
      <c r="A337" s="31"/>
      <c r="B337" s="31"/>
      <c r="C337" s="119"/>
      <c r="D337" s="122"/>
      <c r="E337" s="122"/>
    </row>
    <row r="338" spans="1:5" x14ac:dyDescent="0.35">
      <c r="A338" s="31"/>
      <c r="B338" s="31"/>
      <c r="C338" s="119"/>
      <c r="D338" s="122"/>
      <c r="E338" s="122"/>
    </row>
    <row r="339" spans="1:5" x14ac:dyDescent="0.35">
      <c r="A339" s="31"/>
      <c r="B339" s="31"/>
      <c r="C339" s="119"/>
      <c r="D339" s="122"/>
      <c r="E339" s="122"/>
    </row>
    <row r="340" spans="1:5" x14ac:dyDescent="0.35">
      <c r="A340" s="31"/>
      <c r="B340" s="31"/>
      <c r="C340" s="119"/>
      <c r="D340" s="122"/>
      <c r="E340" s="122"/>
    </row>
    <row r="341" spans="1:5" x14ac:dyDescent="0.35">
      <c r="A341" s="31"/>
      <c r="B341" s="31"/>
      <c r="C341" s="119"/>
      <c r="D341" s="122"/>
      <c r="E341" s="122"/>
    </row>
    <row r="342" spans="1:5" x14ac:dyDescent="0.35">
      <c r="A342" s="31"/>
      <c r="B342" s="31"/>
      <c r="C342" s="119"/>
      <c r="D342" s="122"/>
      <c r="E342" s="122"/>
    </row>
    <row r="343" spans="1:5" x14ac:dyDescent="0.35">
      <c r="A343" s="31"/>
      <c r="B343" s="31"/>
      <c r="C343" s="119"/>
      <c r="D343" s="122"/>
      <c r="E343" s="122"/>
    </row>
    <row r="344" spans="1:5" x14ac:dyDescent="0.35">
      <c r="A344" s="31"/>
      <c r="B344" s="31"/>
      <c r="C344" s="119"/>
      <c r="D344" s="122"/>
      <c r="E344" s="122"/>
    </row>
    <row r="345" spans="1:5" x14ac:dyDescent="0.35">
      <c r="A345" s="31"/>
      <c r="B345" s="31"/>
      <c r="C345" s="119"/>
      <c r="D345" s="122"/>
      <c r="E345" s="122"/>
    </row>
    <row r="346" spans="1:5" x14ac:dyDescent="0.35">
      <c r="A346" s="31"/>
      <c r="B346" s="31"/>
      <c r="C346" s="119"/>
      <c r="D346" s="122"/>
      <c r="E346" s="122"/>
    </row>
    <row r="347" spans="1:5" x14ac:dyDescent="0.35">
      <c r="A347" s="31"/>
      <c r="B347" s="31"/>
      <c r="C347" s="119"/>
      <c r="D347" s="122"/>
      <c r="E347" s="122"/>
    </row>
    <row r="348" spans="1:5" x14ac:dyDescent="0.35">
      <c r="A348" s="31"/>
      <c r="B348" s="31"/>
      <c r="C348" s="119"/>
      <c r="D348" s="122"/>
      <c r="E348" s="122"/>
    </row>
    <row r="349" spans="1:5" x14ac:dyDescent="0.35">
      <c r="A349" s="31"/>
      <c r="B349" s="31"/>
      <c r="C349" s="119"/>
      <c r="D349" s="122"/>
      <c r="E349" s="122"/>
    </row>
    <row r="350" spans="1:5" x14ac:dyDescent="0.35">
      <c r="A350" s="31"/>
      <c r="B350" s="31"/>
      <c r="C350" s="119"/>
      <c r="D350" s="122"/>
      <c r="E350" s="122"/>
    </row>
    <row r="351" spans="1:5" x14ac:dyDescent="0.35">
      <c r="A351" s="31"/>
      <c r="B351" s="31"/>
      <c r="C351" s="119"/>
      <c r="D351" s="122"/>
      <c r="E351" s="122"/>
    </row>
    <row r="352" spans="1:5" x14ac:dyDescent="0.35">
      <c r="A352" s="31"/>
      <c r="B352" s="31"/>
      <c r="C352" s="119"/>
      <c r="D352" s="122"/>
      <c r="E352" s="122"/>
    </row>
    <row r="353" spans="1:5" x14ac:dyDescent="0.35">
      <c r="A353" s="31"/>
      <c r="B353" s="31"/>
      <c r="C353" s="119"/>
      <c r="D353" s="122"/>
      <c r="E353" s="122"/>
    </row>
    <row r="354" spans="1:5" x14ac:dyDescent="0.35">
      <c r="A354" s="31"/>
      <c r="B354" s="31"/>
      <c r="C354" s="119"/>
      <c r="D354" s="122"/>
      <c r="E354" s="122"/>
    </row>
    <row r="355" spans="1:5" x14ac:dyDescent="0.35">
      <c r="A355" s="31"/>
      <c r="B355" s="31"/>
      <c r="C355" s="119"/>
      <c r="D355" s="122"/>
      <c r="E355" s="122"/>
    </row>
    <row r="356" spans="1:5" x14ac:dyDescent="0.35">
      <c r="A356" s="31"/>
      <c r="B356" s="31"/>
      <c r="C356" s="119"/>
      <c r="D356" s="122"/>
      <c r="E356" s="122"/>
    </row>
    <row r="357" spans="1:5" x14ac:dyDescent="0.35">
      <c r="A357" s="31"/>
      <c r="B357" s="31"/>
      <c r="C357" s="119"/>
      <c r="D357" s="122"/>
      <c r="E357" s="122"/>
    </row>
    <row r="358" spans="1:5" x14ac:dyDescent="0.35">
      <c r="A358" s="31"/>
      <c r="B358" s="31"/>
      <c r="C358" s="119"/>
      <c r="D358" s="122"/>
      <c r="E358" s="122"/>
    </row>
    <row r="359" spans="1:5" x14ac:dyDescent="0.35">
      <c r="A359" s="31"/>
      <c r="B359" s="31"/>
      <c r="C359" s="119"/>
      <c r="D359" s="122"/>
      <c r="E359" s="122"/>
    </row>
    <row r="360" spans="1:5" x14ac:dyDescent="0.35">
      <c r="A360" s="31"/>
      <c r="B360" s="31"/>
      <c r="C360" s="119"/>
      <c r="D360" s="122"/>
      <c r="E360" s="122"/>
    </row>
    <row r="361" spans="1:5" x14ac:dyDescent="0.35">
      <c r="A361" s="31"/>
      <c r="B361" s="31"/>
      <c r="C361" s="119"/>
      <c r="D361" s="122"/>
      <c r="E361" s="122"/>
    </row>
    <row r="362" spans="1:5" x14ac:dyDescent="0.35">
      <c r="A362" s="31"/>
      <c r="B362" s="31"/>
      <c r="C362" s="119"/>
      <c r="D362" s="122"/>
      <c r="E362" s="122"/>
    </row>
    <row r="363" spans="1:5" x14ac:dyDescent="0.35">
      <c r="A363" s="31"/>
      <c r="B363" s="31"/>
      <c r="C363" s="119"/>
      <c r="D363" s="122"/>
      <c r="E363" s="122"/>
    </row>
    <row r="364" spans="1:5" x14ac:dyDescent="0.35">
      <c r="A364" s="31"/>
      <c r="B364" s="31"/>
      <c r="C364" s="119"/>
      <c r="D364" s="122"/>
      <c r="E364" s="122"/>
    </row>
    <row r="365" spans="1:5" x14ac:dyDescent="0.35">
      <c r="A365" s="31"/>
      <c r="B365" s="31"/>
      <c r="C365" s="119"/>
      <c r="D365" s="122"/>
      <c r="E365" s="122"/>
    </row>
    <row r="366" spans="1:5" x14ac:dyDescent="0.35">
      <c r="A366" s="31"/>
      <c r="B366" s="31"/>
      <c r="C366" s="119"/>
      <c r="D366" s="122"/>
      <c r="E366" s="122"/>
    </row>
    <row r="367" spans="1:5" x14ac:dyDescent="0.35">
      <c r="A367" s="31"/>
      <c r="B367" s="31"/>
      <c r="C367" s="119"/>
      <c r="D367" s="122"/>
      <c r="E367" s="122"/>
    </row>
    <row r="368" spans="1:5" x14ac:dyDescent="0.35">
      <c r="A368" s="31"/>
      <c r="B368" s="31"/>
      <c r="C368" s="119"/>
      <c r="D368" s="122"/>
      <c r="E368" s="122"/>
    </row>
    <row r="369" spans="1:5" x14ac:dyDescent="0.35">
      <c r="A369" s="31"/>
      <c r="B369" s="31"/>
      <c r="C369" s="119"/>
      <c r="D369" s="122"/>
      <c r="E369" s="122"/>
    </row>
    <row r="370" spans="1:5" x14ac:dyDescent="0.35">
      <c r="A370" s="31"/>
      <c r="B370" s="31"/>
      <c r="C370" s="119"/>
      <c r="D370" s="122"/>
      <c r="E370" s="122"/>
    </row>
    <row r="371" spans="1:5" x14ac:dyDescent="0.35">
      <c r="A371" s="31"/>
      <c r="B371" s="31"/>
      <c r="C371" s="119"/>
      <c r="D371" s="122"/>
      <c r="E371" s="122"/>
    </row>
    <row r="372" spans="1:5" x14ac:dyDescent="0.35">
      <c r="A372" s="31"/>
      <c r="B372" s="31"/>
      <c r="C372" s="119"/>
      <c r="D372" s="122"/>
      <c r="E372" s="122"/>
    </row>
    <row r="373" spans="1:5" x14ac:dyDescent="0.35">
      <c r="A373" s="31"/>
      <c r="B373" s="31"/>
      <c r="C373" s="119"/>
      <c r="D373" s="122"/>
      <c r="E373" s="122"/>
    </row>
    <row r="374" spans="1:5" x14ac:dyDescent="0.35">
      <c r="A374" s="31"/>
      <c r="B374" s="31"/>
      <c r="C374" s="119"/>
      <c r="D374" s="122"/>
      <c r="E374" s="122"/>
    </row>
    <row r="375" spans="1:5" x14ac:dyDescent="0.35">
      <c r="A375" s="31"/>
      <c r="B375" s="31"/>
      <c r="C375" s="119"/>
      <c r="D375" s="122"/>
      <c r="E375" s="122"/>
    </row>
    <row r="376" spans="1:5" x14ac:dyDescent="0.35">
      <c r="A376" s="31"/>
      <c r="B376" s="31"/>
      <c r="C376" s="119"/>
      <c r="D376" s="122"/>
      <c r="E376" s="122"/>
    </row>
    <row r="377" spans="1:5" x14ac:dyDescent="0.35">
      <c r="A377" s="31"/>
      <c r="B377" s="31"/>
      <c r="C377" s="119"/>
      <c r="D377" s="122"/>
      <c r="E377" s="122"/>
    </row>
    <row r="378" spans="1:5" x14ac:dyDescent="0.35">
      <c r="A378" s="31"/>
      <c r="B378" s="31"/>
      <c r="C378" s="119"/>
      <c r="D378" s="122"/>
      <c r="E378" s="122"/>
    </row>
    <row r="379" spans="1:5" x14ac:dyDescent="0.35">
      <c r="A379" s="31"/>
      <c r="B379" s="31"/>
      <c r="C379" s="119"/>
      <c r="D379" s="122"/>
      <c r="E379" s="122"/>
    </row>
    <row r="380" spans="1:5" x14ac:dyDescent="0.35">
      <c r="A380" s="31"/>
      <c r="B380" s="31"/>
      <c r="C380" s="119"/>
      <c r="D380" s="122"/>
      <c r="E380" s="122"/>
    </row>
    <row r="381" spans="1:5" x14ac:dyDescent="0.35">
      <c r="A381" s="31"/>
      <c r="B381" s="31"/>
      <c r="C381" s="119"/>
      <c r="D381" s="122"/>
      <c r="E381" s="122"/>
    </row>
    <row r="382" spans="1:5" x14ac:dyDescent="0.35">
      <c r="A382" s="31"/>
      <c r="B382" s="31"/>
      <c r="C382" s="119"/>
      <c r="D382" s="122"/>
      <c r="E382" s="122"/>
    </row>
    <row r="383" spans="1:5" x14ac:dyDescent="0.35">
      <c r="A383" s="31"/>
      <c r="B383" s="31"/>
      <c r="C383" s="119"/>
      <c r="D383" s="122"/>
      <c r="E383" s="122"/>
    </row>
    <row r="384" spans="1:5" x14ac:dyDescent="0.35">
      <c r="A384" s="31"/>
      <c r="B384" s="31"/>
      <c r="C384" s="119"/>
      <c r="D384" s="122"/>
      <c r="E384" s="122"/>
    </row>
    <row r="385" spans="1:5" x14ac:dyDescent="0.35">
      <c r="A385" s="31"/>
      <c r="B385" s="31"/>
      <c r="C385" s="119"/>
      <c r="D385" s="122"/>
      <c r="E385" s="122"/>
    </row>
    <row r="386" spans="1:5" x14ac:dyDescent="0.35">
      <c r="A386" s="31"/>
      <c r="B386" s="31"/>
      <c r="C386" s="119"/>
      <c r="D386" s="122"/>
      <c r="E386" s="122"/>
    </row>
    <row r="387" spans="1:5" x14ac:dyDescent="0.35">
      <c r="A387" s="31"/>
      <c r="B387" s="31"/>
      <c r="C387" s="119"/>
      <c r="D387" s="122"/>
      <c r="E387" s="122"/>
    </row>
    <row r="388" spans="1:5" x14ac:dyDescent="0.35">
      <c r="A388" s="31"/>
      <c r="B388" s="31"/>
      <c r="C388" s="119"/>
      <c r="D388" s="122"/>
      <c r="E388" s="122"/>
    </row>
    <row r="389" spans="1:5" x14ac:dyDescent="0.35">
      <c r="A389" s="31"/>
      <c r="B389" s="31"/>
      <c r="C389" s="119"/>
      <c r="D389" s="122"/>
      <c r="E389" s="122"/>
    </row>
    <row r="390" spans="1:5" x14ac:dyDescent="0.35">
      <c r="A390" s="31"/>
      <c r="B390" s="31"/>
      <c r="C390" s="119"/>
      <c r="D390" s="122"/>
      <c r="E390" s="122"/>
    </row>
    <row r="391" spans="1:5" x14ac:dyDescent="0.35">
      <c r="A391" s="31"/>
      <c r="B391" s="31"/>
      <c r="C391" s="119"/>
      <c r="D391" s="122"/>
      <c r="E391" s="122"/>
    </row>
    <row r="392" spans="1:5" x14ac:dyDescent="0.35">
      <c r="A392" s="31"/>
      <c r="B392" s="31"/>
      <c r="C392" s="119"/>
      <c r="D392" s="122"/>
      <c r="E392" s="122"/>
    </row>
    <row r="393" spans="1:5" x14ac:dyDescent="0.35">
      <c r="A393" s="31"/>
      <c r="B393" s="31"/>
      <c r="C393" s="119"/>
      <c r="D393" s="122"/>
      <c r="E393" s="122"/>
    </row>
    <row r="394" spans="1:5" x14ac:dyDescent="0.35">
      <c r="A394" s="31"/>
      <c r="B394" s="31"/>
      <c r="C394" s="119"/>
      <c r="D394" s="122"/>
      <c r="E394" s="122"/>
    </row>
    <row r="395" spans="1:5" x14ac:dyDescent="0.35">
      <c r="A395" s="31"/>
      <c r="B395" s="31"/>
      <c r="C395" s="119"/>
      <c r="D395" s="122"/>
      <c r="E395" s="122"/>
    </row>
    <row r="396" spans="1:5" x14ac:dyDescent="0.35">
      <c r="A396" s="31"/>
      <c r="B396" s="31"/>
      <c r="C396" s="119"/>
      <c r="D396" s="122"/>
      <c r="E396" s="122"/>
    </row>
    <row r="397" spans="1:5" x14ac:dyDescent="0.35">
      <c r="A397" s="31"/>
      <c r="B397" s="31"/>
      <c r="C397" s="119"/>
      <c r="D397" s="122"/>
      <c r="E397" s="122"/>
    </row>
    <row r="398" spans="1:5" x14ac:dyDescent="0.35">
      <c r="A398" s="31"/>
      <c r="B398" s="31"/>
      <c r="C398" s="119"/>
      <c r="D398" s="122"/>
      <c r="E398" s="122"/>
    </row>
    <row r="399" spans="1:5" x14ac:dyDescent="0.35">
      <c r="A399" s="31"/>
      <c r="B399" s="31"/>
      <c r="C399" s="119"/>
      <c r="D399" s="122"/>
      <c r="E399" s="122"/>
    </row>
    <row r="400" spans="1:5" x14ac:dyDescent="0.35">
      <c r="A400" s="31"/>
      <c r="B400" s="31"/>
      <c r="C400" s="119"/>
      <c r="D400" s="122"/>
      <c r="E400" s="122"/>
    </row>
    <row r="401" spans="1:5" x14ac:dyDescent="0.35">
      <c r="A401" s="31"/>
      <c r="B401" s="31"/>
      <c r="C401" s="119"/>
      <c r="D401" s="122"/>
      <c r="E401" s="122"/>
    </row>
  </sheetData>
  <mergeCells count="1">
    <mergeCell ref="G3:H3"/>
  </mergeCells>
  <phoneticPr fontId="3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110</v>
      </c>
      <c r="C1" s="46" t="s">
        <v>111</v>
      </c>
      <c r="D1" s="46" t="s">
        <v>67</v>
      </c>
    </row>
    <row r="2" spans="1:4" x14ac:dyDescent="0.35">
      <c r="A2" s="31">
        <v>1</v>
      </c>
      <c r="B2" s="49" t="s">
        <v>112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112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112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112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112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112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112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112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112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112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112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112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112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112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112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112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112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112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112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112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1"/>
  <sheetViews>
    <sheetView workbookViewId="0">
      <selection activeCell="H2" sqref="H2"/>
    </sheetView>
  </sheetViews>
  <sheetFormatPr defaultRowHeight="14.5" x14ac:dyDescent="0.35"/>
  <cols>
    <col min="1" max="1" width="3.81640625" bestFit="1" customWidth="1"/>
    <col min="2" max="2" width="56.26953125" customWidth="1"/>
    <col min="3" max="3" width="7" bestFit="1" customWidth="1"/>
    <col min="4" max="4" width="7.7265625" customWidth="1"/>
    <col min="5" max="5" width="11.26953125" customWidth="1"/>
    <col min="7" max="8" width="11.7265625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109</v>
      </c>
      <c r="C1" s="46" t="s">
        <v>54</v>
      </c>
      <c r="D1" s="46" t="s">
        <v>108</v>
      </c>
      <c r="E1" s="46" t="s">
        <v>56</v>
      </c>
      <c r="F1" s="28"/>
      <c r="G1" s="43" t="s">
        <v>108</v>
      </c>
      <c r="H1" s="43" t="s">
        <v>56</v>
      </c>
      <c r="I1" s="28"/>
      <c r="J1" s="28"/>
    </row>
    <row r="2" spans="1:12" x14ac:dyDescent="0.35">
      <c r="A2" s="31"/>
      <c r="B2" s="31"/>
      <c r="C2" s="119"/>
      <c r="D2" s="122"/>
      <c r="E2" s="122"/>
      <c r="F2" s="28"/>
      <c r="G2" s="45">
        <v>0</v>
      </c>
      <c r="H2" s="45">
        <v>0</v>
      </c>
      <c r="I2" s="50"/>
      <c r="J2" s="51"/>
      <c r="K2" s="30"/>
      <c r="L2" s="30"/>
    </row>
    <row r="3" spans="1:12" x14ac:dyDescent="0.35">
      <c r="A3" s="31"/>
      <c r="B3" s="31"/>
      <c r="C3" s="119"/>
      <c r="D3" s="122"/>
      <c r="E3" s="122"/>
      <c r="F3" s="28"/>
      <c r="G3" s="127" t="s">
        <v>321</v>
      </c>
      <c r="H3" s="129"/>
      <c r="I3" s="50"/>
      <c r="J3" s="51"/>
      <c r="K3" s="30"/>
      <c r="L3" s="30"/>
    </row>
    <row r="4" spans="1:12" s="30" customFormat="1" x14ac:dyDescent="0.35">
      <c r="A4" s="31"/>
      <c r="B4" s="31"/>
      <c r="C4" s="119"/>
      <c r="D4" s="122"/>
      <c r="E4" s="122"/>
      <c r="F4" s="28"/>
      <c r="G4" s="45">
        <v>0</v>
      </c>
      <c r="H4" s="128"/>
      <c r="I4" s="50"/>
      <c r="J4" s="51"/>
    </row>
    <row r="5" spans="1:12" s="30" customFormat="1" x14ac:dyDescent="0.35">
      <c r="A5" s="31"/>
      <c r="B5" s="31"/>
      <c r="C5" s="119"/>
      <c r="D5" s="122"/>
      <c r="E5" s="122"/>
      <c r="F5" s="28"/>
      <c r="G5" s="28"/>
      <c r="H5" s="50"/>
      <c r="I5" s="50"/>
      <c r="J5" s="51"/>
    </row>
    <row r="6" spans="1:12" s="30" customFormat="1" x14ac:dyDescent="0.35">
      <c r="A6" s="31"/>
      <c r="B6" s="31"/>
      <c r="C6" s="119"/>
      <c r="D6" s="122"/>
      <c r="E6" s="122"/>
      <c r="F6" s="28"/>
      <c r="G6" s="28"/>
      <c r="H6" s="50"/>
      <c r="I6" s="50"/>
      <c r="J6" s="51"/>
    </row>
    <row r="7" spans="1:12" s="30" customFormat="1" x14ac:dyDescent="0.35">
      <c r="A7" s="31"/>
      <c r="B7" s="31"/>
      <c r="C7" s="119"/>
      <c r="D7" s="122"/>
      <c r="E7" s="122"/>
      <c r="F7" s="28"/>
      <c r="G7" s="28"/>
      <c r="H7" s="50"/>
      <c r="I7" s="50"/>
      <c r="J7" s="51"/>
    </row>
    <row r="8" spans="1:12" s="30" customFormat="1" x14ac:dyDescent="0.35">
      <c r="A8" s="31"/>
      <c r="B8" s="31"/>
      <c r="C8" s="119"/>
      <c r="D8" s="122"/>
      <c r="E8" s="122"/>
      <c r="F8" s="28"/>
      <c r="G8" s="28"/>
      <c r="H8" s="41"/>
      <c r="I8" s="41"/>
      <c r="J8" s="28"/>
    </row>
    <row r="9" spans="1:12" s="30" customFormat="1" x14ac:dyDescent="0.35">
      <c r="A9" s="31"/>
      <c r="B9" s="31"/>
      <c r="C9" s="119"/>
      <c r="D9" s="122"/>
      <c r="E9" s="122"/>
      <c r="F9" s="28"/>
      <c r="G9" s="28"/>
      <c r="H9" s="28"/>
      <c r="I9" s="28"/>
      <c r="J9" s="28"/>
    </row>
    <row r="10" spans="1:12" s="30" customFormat="1" x14ac:dyDescent="0.35">
      <c r="A10" s="31"/>
      <c r="B10" s="31"/>
      <c r="C10" s="119"/>
      <c r="D10" s="122"/>
      <c r="E10" s="122"/>
      <c r="F10" s="28"/>
      <c r="G10" s="28"/>
      <c r="H10" s="50"/>
      <c r="I10" s="50"/>
      <c r="J10" s="51"/>
    </row>
    <row r="11" spans="1:12" s="30" customFormat="1" x14ac:dyDescent="0.35">
      <c r="A11" s="31"/>
      <c r="B11" s="31"/>
      <c r="C11" s="119"/>
      <c r="D11" s="122"/>
      <c r="E11" s="122"/>
      <c r="F11" s="28"/>
      <c r="G11" s="28"/>
      <c r="H11" s="41"/>
      <c r="I11" s="41"/>
      <c r="J11" s="28"/>
    </row>
    <row r="12" spans="1:12" s="30" customFormat="1" x14ac:dyDescent="0.35">
      <c r="A12" s="31"/>
      <c r="B12" s="31"/>
      <c r="C12" s="119"/>
      <c r="D12" s="122"/>
      <c r="E12" s="122"/>
      <c r="F12" s="28"/>
      <c r="G12" s="28"/>
      <c r="H12" s="28"/>
      <c r="I12" s="28"/>
      <c r="J12" s="28"/>
    </row>
    <row r="13" spans="1:12" s="30" customFormat="1" x14ac:dyDescent="0.35">
      <c r="A13" s="31"/>
      <c r="B13" s="31"/>
      <c r="C13" s="119"/>
      <c r="D13" s="122"/>
      <c r="E13" s="122"/>
      <c r="F13" s="28"/>
      <c r="G13" s="28"/>
      <c r="H13" s="50"/>
      <c r="I13" s="50"/>
      <c r="J13" s="51"/>
    </row>
    <row r="14" spans="1:12" s="30" customFormat="1" x14ac:dyDescent="0.35">
      <c r="A14" s="31"/>
      <c r="B14" s="31"/>
      <c r="C14" s="119"/>
      <c r="D14" s="122"/>
      <c r="E14" s="122"/>
      <c r="F14" s="28"/>
      <c r="G14" s="28"/>
      <c r="H14" s="50"/>
      <c r="I14" s="50"/>
      <c r="J14" s="51"/>
    </row>
    <row r="15" spans="1:12" s="30" customFormat="1" x14ac:dyDescent="0.35">
      <c r="A15" s="31"/>
      <c r="B15" s="31"/>
      <c r="C15" s="119"/>
      <c r="D15" s="122"/>
      <c r="E15" s="122"/>
      <c r="F15" s="28"/>
      <c r="G15" s="28"/>
      <c r="H15" s="41"/>
      <c r="I15" s="41"/>
      <c r="J15" s="28"/>
    </row>
    <row r="16" spans="1:12" s="30" customFormat="1" x14ac:dyDescent="0.35">
      <c r="A16" s="31"/>
      <c r="B16" s="31"/>
      <c r="C16" s="119"/>
      <c r="D16" s="122"/>
      <c r="E16" s="122"/>
      <c r="F16" s="28"/>
      <c r="G16" s="28"/>
      <c r="H16" s="28"/>
      <c r="I16" s="28"/>
      <c r="J16" s="28"/>
    </row>
    <row r="17" spans="1:12" s="30" customFormat="1" x14ac:dyDescent="0.35">
      <c r="A17" s="31"/>
      <c r="B17" s="31"/>
      <c r="C17" s="119"/>
      <c r="D17" s="122"/>
      <c r="E17" s="122"/>
      <c r="F17" s="28"/>
      <c r="G17" s="28"/>
      <c r="H17" s="28"/>
      <c r="I17" s="28"/>
      <c r="J17" s="28"/>
    </row>
    <row r="18" spans="1:12" s="30" customFormat="1" x14ac:dyDescent="0.35">
      <c r="A18" s="31"/>
      <c r="B18" s="31"/>
      <c r="C18" s="119"/>
      <c r="D18" s="122"/>
      <c r="E18" s="122"/>
      <c r="F18" s="28"/>
      <c r="G18" s="28"/>
      <c r="H18" s="50"/>
      <c r="I18" s="50"/>
      <c r="J18" s="51"/>
    </row>
    <row r="19" spans="1:12" s="30" customFormat="1" x14ac:dyDescent="0.35">
      <c r="A19" s="31"/>
      <c r="B19" s="31"/>
      <c r="C19" s="119"/>
      <c r="D19" s="122"/>
      <c r="E19" s="122"/>
      <c r="F19" s="28"/>
      <c r="G19" s="28"/>
      <c r="H19" s="50"/>
      <c r="I19" s="50"/>
      <c r="J19" s="51"/>
    </row>
    <row r="20" spans="1:12" s="30" customFormat="1" x14ac:dyDescent="0.35">
      <c r="A20" s="31"/>
      <c r="B20" s="31"/>
      <c r="C20" s="119"/>
      <c r="D20" s="122"/>
      <c r="E20" s="122"/>
      <c r="F20" s="28"/>
      <c r="G20" s="28"/>
      <c r="H20" s="41"/>
      <c r="I20" s="41"/>
      <c r="J20" s="28"/>
    </row>
    <row r="21" spans="1:12" s="30" customFormat="1" x14ac:dyDescent="0.35">
      <c r="A21" s="31"/>
      <c r="B21" s="31"/>
      <c r="C21" s="119"/>
      <c r="D21" s="122"/>
      <c r="E21" s="122"/>
      <c r="F21" s="28"/>
      <c r="G21" s="28"/>
      <c r="H21" s="28"/>
      <c r="I21" s="28"/>
      <c r="J21" s="28"/>
    </row>
    <row r="22" spans="1:12" s="30" customFormat="1" x14ac:dyDescent="0.35">
      <c r="A22" s="31"/>
      <c r="B22" s="31"/>
      <c r="C22" s="119"/>
      <c r="D22" s="122"/>
      <c r="E22" s="122"/>
      <c r="F22" s="28"/>
      <c r="G22" s="28"/>
      <c r="H22" s="28"/>
      <c r="I22" s="28"/>
      <c r="J22" s="28"/>
    </row>
    <row r="23" spans="1:12" s="30" customFormat="1" x14ac:dyDescent="0.35">
      <c r="A23" s="31"/>
      <c r="B23" s="31"/>
      <c r="C23" s="119"/>
      <c r="D23" s="122"/>
      <c r="E23" s="122"/>
      <c r="F23" s="28"/>
      <c r="G23" s="28"/>
      <c r="H23" s="50"/>
      <c r="I23" s="50"/>
      <c r="J23" s="51"/>
    </row>
    <row r="24" spans="1:12" s="30" customFormat="1" x14ac:dyDescent="0.35">
      <c r="A24" s="31"/>
      <c r="B24" s="31"/>
      <c r="C24" s="119"/>
      <c r="D24" s="122"/>
      <c r="E24" s="122"/>
      <c r="F24" s="28"/>
      <c r="G24" s="28"/>
      <c r="H24" s="50"/>
      <c r="I24" s="50"/>
      <c r="J24" s="51"/>
    </row>
    <row r="25" spans="1:12" s="30" customFormat="1" x14ac:dyDescent="0.35">
      <c r="A25" s="31"/>
      <c r="B25" s="31"/>
      <c r="C25" s="119"/>
      <c r="D25" s="122"/>
      <c r="E25" s="122"/>
      <c r="F25" s="28"/>
      <c r="G25" s="28"/>
      <c r="H25" s="50"/>
      <c r="I25" s="50"/>
      <c r="J25" s="51"/>
    </row>
    <row r="26" spans="1:12" s="30" customFormat="1" x14ac:dyDescent="0.35">
      <c r="A26" s="31"/>
      <c r="B26" s="31"/>
      <c r="C26" s="119"/>
      <c r="D26" s="122"/>
      <c r="E26" s="122"/>
      <c r="F26" s="28"/>
      <c r="G26" s="28"/>
      <c r="H26" s="41"/>
      <c r="I26" s="41"/>
      <c r="J26" s="28"/>
    </row>
    <row r="27" spans="1:12" s="30" customFormat="1" x14ac:dyDescent="0.35">
      <c r="A27" s="31"/>
      <c r="B27" s="31"/>
      <c r="C27" s="119"/>
      <c r="D27" s="122"/>
      <c r="E27" s="122"/>
      <c r="F27" s="28"/>
      <c r="G27" s="28"/>
      <c r="H27" s="28"/>
      <c r="I27" s="28"/>
      <c r="J27" s="28"/>
    </row>
    <row r="28" spans="1:12" s="30" customFormat="1" x14ac:dyDescent="0.35">
      <c r="A28" s="31"/>
      <c r="B28" s="31"/>
      <c r="C28" s="119"/>
      <c r="D28" s="122"/>
      <c r="E28" s="122"/>
      <c r="F28" s="28"/>
      <c r="G28" s="28"/>
      <c r="H28" s="28"/>
      <c r="I28" s="28"/>
      <c r="J28" s="28"/>
    </row>
    <row r="29" spans="1:12" s="30" customFormat="1" x14ac:dyDescent="0.35">
      <c r="A29" s="31"/>
      <c r="B29" s="31"/>
      <c r="C29" s="119"/>
      <c r="D29" s="122"/>
      <c r="E29" s="122"/>
      <c r="F29" s="28"/>
      <c r="G29" s="28"/>
      <c r="H29" s="28"/>
      <c r="I29" s="28"/>
      <c r="J29" s="28"/>
    </row>
    <row r="30" spans="1:12" x14ac:dyDescent="0.35">
      <c r="A30" s="31"/>
      <c r="B30" s="31"/>
      <c r="C30" s="119"/>
      <c r="D30" s="122"/>
      <c r="E30" s="122"/>
      <c r="F30" s="28"/>
      <c r="G30" s="28"/>
      <c r="H30" s="50"/>
      <c r="I30" s="50"/>
      <c r="J30" s="51"/>
      <c r="K30" s="30"/>
      <c r="L30" s="30"/>
    </row>
    <row r="31" spans="1:12" x14ac:dyDescent="0.35">
      <c r="A31" s="31"/>
      <c r="B31" s="31"/>
      <c r="C31" s="119"/>
      <c r="D31" s="122"/>
      <c r="E31" s="122"/>
      <c r="F31" s="28"/>
      <c r="G31" s="28"/>
      <c r="H31" s="50"/>
      <c r="I31" s="50"/>
      <c r="J31" s="51"/>
      <c r="K31" s="30"/>
      <c r="L31" s="30"/>
    </row>
    <row r="32" spans="1:12" x14ac:dyDescent="0.35">
      <c r="A32" s="31"/>
      <c r="B32" s="31"/>
      <c r="C32" s="119"/>
      <c r="D32" s="122"/>
      <c r="E32" s="122"/>
      <c r="F32" s="28"/>
      <c r="G32" s="28"/>
      <c r="H32" s="50"/>
      <c r="I32" s="50"/>
      <c r="J32" s="51"/>
      <c r="K32" s="30"/>
      <c r="L32" s="30"/>
    </row>
    <row r="33" spans="1:12" x14ac:dyDescent="0.35">
      <c r="A33" s="31"/>
      <c r="B33" s="31"/>
      <c r="C33" s="119"/>
      <c r="D33" s="122"/>
      <c r="E33" s="122"/>
      <c r="F33" s="28"/>
      <c r="G33" s="28"/>
      <c r="H33" s="50"/>
      <c r="I33" s="50"/>
      <c r="J33" s="51"/>
      <c r="K33" s="30"/>
      <c r="L33" s="30"/>
    </row>
    <row r="34" spans="1:12" x14ac:dyDescent="0.35">
      <c r="A34" s="31"/>
      <c r="B34" s="31"/>
      <c r="C34" s="119"/>
      <c r="D34" s="122"/>
      <c r="E34" s="122"/>
      <c r="F34" s="28"/>
      <c r="G34" s="28"/>
      <c r="H34" s="41"/>
      <c r="I34" s="41"/>
      <c r="J34" s="28"/>
      <c r="K34" s="30"/>
      <c r="L34" s="30"/>
    </row>
    <row r="35" spans="1:12" x14ac:dyDescent="0.35">
      <c r="A35" s="31"/>
      <c r="B35" s="31"/>
      <c r="C35" s="119"/>
      <c r="D35" s="122"/>
      <c r="E35" s="122"/>
      <c r="F35" s="28"/>
      <c r="G35" s="28"/>
      <c r="H35" s="28"/>
      <c r="I35" s="28"/>
      <c r="J35" s="28"/>
    </row>
    <row r="36" spans="1:12" s="30" customFormat="1" x14ac:dyDescent="0.35">
      <c r="A36" s="31"/>
      <c r="B36" s="31"/>
      <c r="C36" s="119"/>
      <c r="D36" s="122"/>
      <c r="E36" s="122"/>
      <c r="F36" s="28"/>
      <c r="G36" s="28"/>
      <c r="H36" s="50"/>
      <c r="I36" s="50"/>
      <c r="J36" s="51"/>
    </row>
    <row r="37" spans="1:12" s="30" customFormat="1" x14ac:dyDescent="0.35">
      <c r="A37" s="31"/>
      <c r="B37" s="31"/>
      <c r="C37" s="119"/>
      <c r="D37" s="122"/>
      <c r="E37" s="122"/>
      <c r="F37" s="28"/>
      <c r="G37" s="28"/>
      <c r="H37" s="50"/>
      <c r="I37" s="50"/>
      <c r="J37" s="51"/>
    </row>
    <row r="38" spans="1:12" s="30" customFormat="1" x14ac:dyDescent="0.35">
      <c r="A38" s="31"/>
      <c r="B38" s="31"/>
      <c r="C38" s="119"/>
      <c r="D38" s="122"/>
      <c r="E38" s="122"/>
      <c r="F38" s="28"/>
      <c r="G38" s="28"/>
      <c r="H38" s="41"/>
      <c r="I38" s="41"/>
      <c r="J38" s="28"/>
    </row>
    <row r="39" spans="1:12" s="30" customFormat="1" x14ac:dyDescent="0.35">
      <c r="A39" s="31"/>
      <c r="B39" s="31"/>
      <c r="C39" s="119"/>
      <c r="D39" s="122"/>
      <c r="E39" s="122"/>
      <c r="F39" s="28"/>
      <c r="G39" s="28"/>
      <c r="H39" s="28"/>
      <c r="I39" s="28"/>
      <c r="J39" s="28"/>
    </row>
    <row r="40" spans="1:12" x14ac:dyDescent="0.35">
      <c r="A40" s="31"/>
      <c r="B40" s="31"/>
      <c r="C40" s="119"/>
      <c r="D40" s="122"/>
      <c r="E40" s="122"/>
      <c r="F40" s="28"/>
      <c r="G40" s="28"/>
      <c r="H40" s="28"/>
      <c r="I40" s="28"/>
      <c r="J40" s="28"/>
    </row>
    <row r="41" spans="1:12" s="30" customFormat="1" x14ac:dyDescent="0.35">
      <c r="A41" s="31"/>
      <c r="B41" s="31"/>
      <c r="C41" s="119"/>
      <c r="D41" s="122"/>
      <c r="E41" s="122"/>
      <c r="F41" s="28"/>
      <c r="G41" s="28"/>
      <c r="H41" s="50"/>
      <c r="I41" s="50"/>
      <c r="J41" s="51"/>
    </row>
    <row r="42" spans="1:12" s="30" customFormat="1" x14ac:dyDescent="0.35">
      <c r="A42" s="31"/>
      <c r="B42" s="31"/>
      <c r="C42" s="119"/>
      <c r="D42" s="122"/>
      <c r="E42" s="122"/>
      <c r="F42" s="28"/>
      <c r="G42" s="28"/>
      <c r="H42" s="50"/>
      <c r="I42" s="50"/>
      <c r="J42" s="51"/>
    </row>
    <row r="43" spans="1:12" s="30" customFormat="1" x14ac:dyDescent="0.35">
      <c r="A43" s="31"/>
      <c r="B43" s="31"/>
      <c r="C43" s="119"/>
      <c r="D43" s="122"/>
      <c r="E43" s="122"/>
      <c r="F43" s="28"/>
      <c r="G43" s="28"/>
      <c r="H43" s="41"/>
      <c r="I43" s="41"/>
      <c r="J43" s="28"/>
    </row>
    <row r="44" spans="1:12" s="30" customFormat="1" x14ac:dyDescent="0.35">
      <c r="A44" s="31"/>
      <c r="B44" s="31"/>
      <c r="C44" s="119"/>
      <c r="D44" s="122"/>
      <c r="E44" s="122"/>
      <c r="F44" s="28"/>
      <c r="G44" s="28"/>
      <c r="H44" s="28"/>
      <c r="I44" s="28"/>
      <c r="J44" s="28"/>
    </row>
    <row r="45" spans="1:12" s="30" customFormat="1" x14ac:dyDescent="0.35">
      <c r="A45" s="31"/>
      <c r="B45" s="31"/>
      <c r="C45" s="119"/>
      <c r="D45" s="122"/>
      <c r="E45" s="122"/>
      <c r="F45" s="28"/>
      <c r="G45" s="28"/>
      <c r="H45" s="28"/>
      <c r="I45" s="28"/>
      <c r="J45" s="28"/>
    </row>
    <row r="46" spans="1:12" s="30" customFormat="1" x14ac:dyDescent="0.35">
      <c r="A46" s="31"/>
      <c r="B46" s="31"/>
      <c r="C46" s="119"/>
      <c r="D46" s="122"/>
      <c r="E46" s="122"/>
      <c r="F46" s="28"/>
      <c r="G46" s="28"/>
      <c r="H46" s="50"/>
      <c r="I46" s="50"/>
      <c r="J46" s="51"/>
    </row>
    <row r="47" spans="1:12" s="30" customFormat="1" x14ac:dyDescent="0.35">
      <c r="A47" s="31"/>
      <c r="B47" s="31"/>
      <c r="C47" s="119"/>
      <c r="D47" s="122"/>
      <c r="E47" s="122"/>
      <c r="F47" s="28"/>
      <c r="G47" s="28"/>
      <c r="H47" s="50"/>
      <c r="I47" s="50"/>
      <c r="J47" s="51"/>
    </row>
    <row r="48" spans="1:12" s="30" customFormat="1" x14ac:dyDescent="0.35">
      <c r="A48" s="31"/>
      <c r="B48" s="31"/>
      <c r="C48" s="119"/>
      <c r="D48" s="122"/>
      <c r="E48" s="122"/>
      <c r="F48" s="28"/>
      <c r="G48" s="28"/>
      <c r="H48" s="50"/>
      <c r="I48" s="50"/>
      <c r="J48" s="51"/>
    </row>
    <row r="49" spans="1:10" s="30" customFormat="1" x14ac:dyDescent="0.35">
      <c r="A49" s="31"/>
      <c r="B49" s="31"/>
      <c r="C49" s="119"/>
      <c r="D49" s="122"/>
      <c r="E49" s="122"/>
      <c r="F49" s="28"/>
      <c r="G49" s="28"/>
      <c r="H49" s="41"/>
      <c r="I49" s="41"/>
      <c r="J49" s="28"/>
    </row>
    <row r="50" spans="1:10" s="30" customFormat="1" x14ac:dyDescent="0.35">
      <c r="A50" s="31"/>
      <c r="B50" s="31"/>
      <c r="C50" s="119"/>
      <c r="D50" s="122"/>
      <c r="E50" s="122"/>
      <c r="F50" s="28"/>
      <c r="G50" s="28"/>
      <c r="H50" s="28"/>
      <c r="I50" s="28"/>
      <c r="J50" s="28"/>
    </row>
    <row r="51" spans="1:10" s="30" customFormat="1" x14ac:dyDescent="0.35">
      <c r="A51" s="31"/>
      <c r="B51" s="31"/>
      <c r="C51" s="119"/>
      <c r="D51" s="122"/>
      <c r="E51" s="122"/>
      <c r="F51" s="28"/>
      <c r="G51" s="28"/>
      <c r="H51" s="28"/>
      <c r="I51" s="28"/>
      <c r="J51" s="28"/>
    </row>
    <row r="52" spans="1:10" x14ac:dyDescent="0.35">
      <c r="A52" s="31"/>
      <c r="B52" s="31"/>
      <c r="C52" s="119"/>
      <c r="D52" s="122"/>
      <c r="E52" s="122"/>
      <c r="F52" s="28"/>
      <c r="G52" s="28"/>
      <c r="H52" s="28"/>
      <c r="I52" s="28"/>
      <c r="J52" s="28"/>
    </row>
    <row r="53" spans="1:10" x14ac:dyDescent="0.35">
      <c r="A53" s="31"/>
      <c r="B53" s="31"/>
      <c r="C53" s="119"/>
      <c r="D53" s="122"/>
      <c r="E53" s="122"/>
      <c r="F53" s="28"/>
      <c r="G53" s="28"/>
      <c r="H53" s="28"/>
      <c r="I53" s="28"/>
      <c r="J53" s="28"/>
    </row>
    <row r="54" spans="1:10" x14ac:dyDescent="0.35">
      <c r="A54" s="31"/>
      <c r="B54" s="31"/>
      <c r="C54" s="119"/>
      <c r="D54" s="122"/>
      <c r="E54" s="122"/>
      <c r="F54" s="28"/>
      <c r="G54" s="28"/>
      <c r="H54" s="28"/>
      <c r="I54" s="28"/>
      <c r="J54" s="28"/>
    </row>
    <row r="55" spans="1:10" x14ac:dyDescent="0.35">
      <c r="A55" s="31"/>
      <c r="B55" s="31"/>
      <c r="C55" s="119"/>
      <c r="D55" s="122"/>
      <c r="E55" s="122"/>
    </row>
    <row r="56" spans="1:10" x14ac:dyDescent="0.35">
      <c r="A56" s="31"/>
      <c r="B56" s="31"/>
      <c r="C56" s="119"/>
      <c r="D56" s="122"/>
      <c r="E56" s="122"/>
    </row>
    <row r="57" spans="1:10" x14ac:dyDescent="0.35">
      <c r="A57" s="31"/>
      <c r="B57" s="31"/>
      <c r="C57" s="119"/>
      <c r="D57" s="122"/>
      <c r="E57" s="122"/>
    </row>
    <row r="58" spans="1:10" x14ac:dyDescent="0.35">
      <c r="A58" s="31"/>
      <c r="B58" s="31"/>
      <c r="C58" s="119"/>
      <c r="D58" s="122"/>
      <c r="E58" s="122"/>
    </row>
    <row r="59" spans="1:10" x14ac:dyDescent="0.35">
      <c r="A59" s="31"/>
      <c r="B59" s="31"/>
      <c r="C59" s="119"/>
      <c r="D59" s="122"/>
      <c r="E59" s="122"/>
    </row>
    <row r="60" spans="1:10" x14ac:dyDescent="0.35">
      <c r="A60" s="31"/>
      <c r="B60" s="31"/>
      <c r="C60" s="119"/>
      <c r="D60" s="122"/>
      <c r="E60" s="122"/>
    </row>
    <row r="61" spans="1:10" x14ac:dyDescent="0.35">
      <c r="A61" s="31"/>
      <c r="B61" s="31"/>
      <c r="C61" s="119"/>
      <c r="D61" s="122"/>
      <c r="E61" s="122"/>
    </row>
    <row r="62" spans="1:10" x14ac:dyDescent="0.35">
      <c r="A62" s="31"/>
      <c r="B62" s="31"/>
      <c r="C62" s="119"/>
      <c r="D62" s="122"/>
      <c r="E62" s="122"/>
    </row>
    <row r="63" spans="1:10" x14ac:dyDescent="0.35">
      <c r="A63" s="31"/>
      <c r="B63" s="31"/>
      <c r="C63" s="119"/>
      <c r="D63" s="122"/>
      <c r="E63" s="122"/>
    </row>
    <row r="64" spans="1:10" x14ac:dyDescent="0.35">
      <c r="A64" s="31"/>
      <c r="B64" s="31"/>
      <c r="C64" s="119"/>
      <c r="D64" s="122"/>
      <c r="E64" s="122"/>
    </row>
    <row r="65" spans="1:5" x14ac:dyDescent="0.35">
      <c r="A65" s="31"/>
      <c r="B65" s="31"/>
      <c r="C65" s="119"/>
      <c r="D65" s="122"/>
      <c r="E65" s="122"/>
    </row>
    <row r="66" spans="1:5" x14ac:dyDescent="0.35">
      <c r="A66" s="31"/>
      <c r="B66" s="31"/>
      <c r="C66" s="119"/>
      <c r="D66" s="122"/>
      <c r="E66" s="122"/>
    </row>
    <row r="67" spans="1:5" x14ac:dyDescent="0.35">
      <c r="A67" s="31"/>
      <c r="B67" s="31"/>
      <c r="C67" s="119"/>
      <c r="D67" s="122"/>
      <c r="E67" s="122"/>
    </row>
    <row r="68" spans="1:5" x14ac:dyDescent="0.35">
      <c r="A68" s="31"/>
      <c r="B68" s="31"/>
      <c r="C68" s="119"/>
      <c r="D68" s="122"/>
      <c r="E68" s="122"/>
    </row>
    <row r="69" spans="1:5" x14ac:dyDescent="0.35">
      <c r="A69" s="31"/>
      <c r="B69" s="31"/>
      <c r="C69" s="119"/>
      <c r="D69" s="122"/>
      <c r="E69" s="122"/>
    </row>
    <row r="70" spans="1:5" x14ac:dyDescent="0.35">
      <c r="A70" s="31"/>
      <c r="B70" s="31"/>
      <c r="C70" s="119"/>
      <c r="D70" s="122"/>
      <c r="E70" s="122"/>
    </row>
    <row r="71" spans="1:5" x14ac:dyDescent="0.35">
      <c r="A71" s="31"/>
      <c r="B71" s="31"/>
      <c r="C71" s="119"/>
      <c r="D71" s="122"/>
      <c r="E71" s="122"/>
    </row>
    <row r="72" spans="1:5" x14ac:dyDescent="0.35">
      <c r="A72" s="31"/>
      <c r="B72" s="31"/>
      <c r="C72" s="119"/>
      <c r="D72" s="122"/>
      <c r="E72" s="122"/>
    </row>
    <row r="73" spans="1:5" x14ac:dyDescent="0.35">
      <c r="A73" s="31"/>
      <c r="B73" s="31"/>
      <c r="C73" s="119"/>
      <c r="D73" s="122"/>
      <c r="E73" s="122"/>
    </row>
    <row r="74" spans="1:5" x14ac:dyDescent="0.35">
      <c r="A74" s="31"/>
      <c r="B74" s="31"/>
      <c r="C74" s="119"/>
      <c r="D74" s="122"/>
      <c r="E74" s="122"/>
    </row>
    <row r="75" spans="1:5" x14ac:dyDescent="0.35">
      <c r="A75" s="31"/>
      <c r="B75" s="31"/>
      <c r="C75" s="119"/>
      <c r="D75" s="122"/>
      <c r="E75" s="122"/>
    </row>
    <row r="76" spans="1:5" x14ac:dyDescent="0.35">
      <c r="A76" s="31"/>
      <c r="B76" s="31"/>
      <c r="C76" s="119"/>
      <c r="D76" s="122"/>
      <c r="E76" s="122"/>
    </row>
    <row r="77" spans="1:5" x14ac:dyDescent="0.35">
      <c r="A77" s="31"/>
      <c r="B77" s="31"/>
      <c r="C77" s="119"/>
      <c r="D77" s="122"/>
      <c r="E77" s="122"/>
    </row>
    <row r="78" spans="1:5" x14ac:dyDescent="0.35">
      <c r="A78" s="31"/>
      <c r="B78" s="31"/>
      <c r="C78" s="119"/>
      <c r="D78" s="122"/>
      <c r="E78" s="122"/>
    </row>
    <row r="79" spans="1:5" x14ac:dyDescent="0.35">
      <c r="A79" s="31"/>
      <c r="B79" s="31"/>
      <c r="C79" s="119"/>
      <c r="D79" s="122"/>
      <c r="E79" s="122"/>
    </row>
    <row r="80" spans="1:5" x14ac:dyDescent="0.35">
      <c r="A80" s="31"/>
      <c r="B80" s="31"/>
      <c r="C80" s="119"/>
      <c r="D80" s="122"/>
      <c r="E80" s="122"/>
    </row>
    <row r="81" spans="1:5" x14ac:dyDescent="0.35">
      <c r="A81" s="31"/>
      <c r="B81" s="31"/>
      <c r="C81" s="119"/>
      <c r="D81" s="122"/>
      <c r="E81" s="122"/>
    </row>
    <row r="82" spans="1:5" x14ac:dyDescent="0.35">
      <c r="A82" s="31"/>
      <c r="B82" s="31"/>
      <c r="C82" s="119"/>
      <c r="D82" s="122"/>
      <c r="E82" s="122"/>
    </row>
    <row r="83" spans="1:5" x14ac:dyDescent="0.35">
      <c r="A83" s="31"/>
      <c r="B83" s="31"/>
      <c r="C83" s="119"/>
      <c r="D83" s="122"/>
      <c r="E83" s="122"/>
    </row>
    <row r="84" spans="1:5" x14ac:dyDescent="0.35">
      <c r="A84" s="31"/>
      <c r="B84" s="31"/>
      <c r="C84" s="119"/>
      <c r="D84" s="122"/>
      <c r="E84" s="122"/>
    </row>
    <row r="85" spans="1:5" x14ac:dyDescent="0.35">
      <c r="A85" s="31"/>
      <c r="B85" s="31"/>
      <c r="C85" s="119"/>
      <c r="D85" s="122"/>
      <c r="E85" s="122"/>
    </row>
    <row r="86" spans="1:5" x14ac:dyDescent="0.35">
      <c r="A86" s="31"/>
      <c r="B86" s="31"/>
      <c r="C86" s="119"/>
      <c r="D86" s="122"/>
      <c r="E86" s="122"/>
    </row>
    <row r="87" spans="1:5" x14ac:dyDescent="0.35">
      <c r="A87" s="31"/>
      <c r="B87" s="31"/>
      <c r="C87" s="119"/>
      <c r="D87" s="122"/>
      <c r="E87" s="122"/>
    </row>
    <row r="88" spans="1:5" x14ac:dyDescent="0.35">
      <c r="A88" s="31"/>
      <c r="B88" s="31"/>
      <c r="C88" s="119"/>
      <c r="D88" s="122"/>
      <c r="E88" s="122"/>
    </row>
    <row r="89" spans="1:5" x14ac:dyDescent="0.35">
      <c r="A89" s="31"/>
      <c r="B89" s="31"/>
      <c r="C89" s="119"/>
      <c r="D89" s="122"/>
      <c r="E89" s="122"/>
    </row>
    <row r="90" spans="1:5" x14ac:dyDescent="0.35">
      <c r="A90" s="31"/>
      <c r="B90" s="31"/>
      <c r="C90" s="119"/>
      <c r="D90" s="122"/>
      <c r="E90" s="122"/>
    </row>
    <row r="91" spans="1:5" x14ac:dyDescent="0.35">
      <c r="A91" s="31"/>
      <c r="B91" s="31"/>
      <c r="C91" s="119"/>
      <c r="D91" s="122"/>
      <c r="E91" s="122"/>
    </row>
    <row r="92" spans="1:5" x14ac:dyDescent="0.35">
      <c r="A92" s="31"/>
      <c r="B92" s="31"/>
      <c r="C92" s="119"/>
      <c r="D92" s="122"/>
      <c r="E92" s="122"/>
    </row>
    <row r="93" spans="1:5" x14ac:dyDescent="0.35">
      <c r="A93" s="31"/>
      <c r="B93" s="31"/>
      <c r="C93" s="119"/>
      <c r="D93" s="122"/>
      <c r="E93" s="122"/>
    </row>
    <row r="94" spans="1:5" x14ac:dyDescent="0.35">
      <c r="A94" s="31"/>
      <c r="B94" s="31"/>
      <c r="C94" s="119"/>
      <c r="D94" s="122"/>
      <c r="E94" s="122"/>
    </row>
    <row r="95" spans="1:5" x14ac:dyDescent="0.35">
      <c r="A95" s="31"/>
      <c r="B95" s="31"/>
      <c r="C95" s="119"/>
      <c r="D95" s="122"/>
      <c r="E95" s="122"/>
    </row>
    <row r="96" spans="1:5" x14ac:dyDescent="0.35">
      <c r="A96" s="31"/>
      <c r="B96" s="31"/>
      <c r="C96" s="119"/>
      <c r="D96" s="122"/>
      <c r="E96" s="122"/>
    </row>
    <row r="97" spans="1:5" x14ac:dyDescent="0.35">
      <c r="A97" s="31"/>
      <c r="B97" s="31"/>
      <c r="C97" s="119"/>
      <c r="D97" s="122"/>
      <c r="E97" s="122"/>
    </row>
    <row r="98" spans="1:5" x14ac:dyDescent="0.35">
      <c r="A98" s="31"/>
      <c r="B98" s="31"/>
      <c r="C98" s="119"/>
      <c r="D98" s="122"/>
      <c r="E98" s="122"/>
    </row>
    <row r="99" spans="1:5" x14ac:dyDescent="0.35">
      <c r="A99" s="31"/>
      <c r="B99" s="31"/>
      <c r="C99" s="119"/>
      <c r="D99" s="122"/>
      <c r="E99" s="122"/>
    </row>
    <row r="100" spans="1:5" x14ac:dyDescent="0.35">
      <c r="A100" s="31"/>
      <c r="B100" s="31"/>
      <c r="C100" s="119"/>
      <c r="D100" s="122"/>
      <c r="E100" s="122"/>
    </row>
    <row r="101" spans="1:5" x14ac:dyDescent="0.35">
      <c r="A101" s="31"/>
      <c r="B101" s="31"/>
      <c r="C101" s="119"/>
      <c r="D101" s="122"/>
      <c r="E101" s="1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57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2" t="s">
        <v>113</v>
      </c>
      <c r="B1" s="54"/>
      <c r="C1" s="52"/>
      <c r="E1" s="46" t="s">
        <v>78</v>
      </c>
      <c r="F1" s="46" t="s">
        <v>79</v>
      </c>
      <c r="G1" s="46" t="s">
        <v>80</v>
      </c>
    </row>
    <row r="2" spans="1:7" x14ac:dyDescent="0.35">
      <c r="A2" s="46" t="s">
        <v>115</v>
      </c>
      <c r="B2" s="53" t="s">
        <v>131</v>
      </c>
      <c r="C2" s="46" t="s">
        <v>132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116</v>
      </c>
      <c r="B3" s="55">
        <v>20</v>
      </c>
      <c r="C3" s="29">
        <f>ROUND(($E$2*$F$2*$G$2*Средн!$D$22*B3)/100,2)</f>
        <v>0</v>
      </c>
    </row>
    <row r="4" spans="1:7" x14ac:dyDescent="0.35">
      <c r="A4" s="31" t="s">
        <v>117</v>
      </c>
      <c r="B4" s="55">
        <v>30</v>
      </c>
      <c r="C4" s="29">
        <f>ROUND(($E$2*$F$2*$G$2*Средн!$D$22*B4)/100,2)</f>
        <v>0</v>
      </c>
    </row>
    <row r="5" spans="1:7" x14ac:dyDescent="0.35">
      <c r="A5" s="31" t="s">
        <v>118</v>
      </c>
      <c r="B5" s="55">
        <v>13</v>
      </c>
      <c r="C5" s="29">
        <f>ROUND(($E$2*$F$2*$G$2*Средн!$D$22*B5)/100,2)</f>
        <v>0</v>
      </c>
    </row>
    <row r="6" spans="1:7" x14ac:dyDescent="0.35">
      <c r="A6" s="31" t="s">
        <v>119</v>
      </c>
      <c r="B6" s="55">
        <v>3</v>
      </c>
      <c r="C6" s="29">
        <f>ROUND(($E$2*$F$2*$G$2*Средн!$D$22*B6)/100,2)</f>
        <v>0</v>
      </c>
    </row>
    <row r="7" spans="1:7" x14ac:dyDescent="0.35">
      <c r="A7" s="31" t="s">
        <v>120</v>
      </c>
      <c r="B7" s="55">
        <v>3</v>
      </c>
      <c r="C7" s="29">
        <f>ROUND(($E$2*$F$2*$G$2*Средн!$D$22*B7)/100,2)</f>
        <v>0</v>
      </c>
    </row>
    <row r="8" spans="1:7" x14ac:dyDescent="0.35">
      <c r="A8" s="31" t="s">
        <v>121</v>
      </c>
      <c r="B8" s="55">
        <v>2.5</v>
      </c>
      <c r="C8" s="29">
        <f>ROUND(($E$2*$F$2*$G$2*Средн!$D$22*B8)/100,2)</f>
        <v>0</v>
      </c>
    </row>
    <row r="9" spans="1:7" x14ac:dyDescent="0.35">
      <c r="A9" s="31" t="s">
        <v>122</v>
      </c>
      <c r="B9" s="55">
        <v>2</v>
      </c>
      <c r="C9" s="29">
        <f>ROUND(($E$2*$F$2*$G$2*Средн!$D$22*B9)/100,2)</f>
        <v>0</v>
      </c>
    </row>
    <row r="10" spans="1:7" x14ac:dyDescent="0.35">
      <c r="A10" s="31" t="s">
        <v>73</v>
      </c>
      <c r="B10" s="55">
        <v>2</v>
      </c>
      <c r="C10" s="29">
        <f>ROUND(($E$2*$F$2*$G$2*Средн!$D$22*B10)/100,2)</f>
        <v>0</v>
      </c>
    </row>
    <row r="11" spans="1:7" x14ac:dyDescent="0.35">
      <c r="A11" s="31" t="s">
        <v>74</v>
      </c>
      <c r="B11" s="55">
        <v>2.5</v>
      </c>
      <c r="C11" s="29">
        <f>ROUND(($E$2*$F$2*$G$2*Средн!$D$22*B11)/100,2)</f>
        <v>0</v>
      </c>
    </row>
    <row r="12" spans="1:7" x14ac:dyDescent="0.35">
      <c r="A12" s="31" t="s">
        <v>123</v>
      </c>
      <c r="B12" s="55">
        <v>2</v>
      </c>
      <c r="C12" s="29">
        <f>ROUND(($E$2*$F$2*$G$2*Средн!$D$22*B12)/100,2)</f>
        <v>0</v>
      </c>
    </row>
    <row r="13" spans="1:7" x14ac:dyDescent="0.35">
      <c r="A13" s="31" t="s">
        <v>75</v>
      </c>
      <c r="B13" s="55">
        <v>16</v>
      </c>
      <c r="C13" s="29">
        <f>ROUND(($E$2*$F$2*$G$2*Средн!$D$22*B13)/100,2)</f>
        <v>0</v>
      </c>
    </row>
    <row r="14" spans="1:7" x14ac:dyDescent="0.35">
      <c r="A14" s="31" t="s">
        <v>124</v>
      </c>
      <c r="B14" s="55">
        <v>10</v>
      </c>
      <c r="C14" s="29">
        <f>ROUND(($E$2*$F$2*$G$2*Средн!$D$22*B14)/100,2)</f>
        <v>0</v>
      </c>
    </row>
    <row r="15" spans="1:7" x14ac:dyDescent="0.35">
      <c r="A15" s="31" t="s">
        <v>125</v>
      </c>
      <c r="B15" s="55">
        <v>7</v>
      </c>
      <c r="C15" s="29">
        <f>ROUND(($E$2*$F$2*$G$2*Средн!$D$22*B15)/100,2)</f>
        <v>0</v>
      </c>
    </row>
    <row r="16" spans="1:7" x14ac:dyDescent="0.35">
      <c r="A16" s="31" t="s">
        <v>126</v>
      </c>
      <c r="B16" s="55">
        <v>10</v>
      </c>
      <c r="C16" s="29">
        <f>ROUND(($E$2*$F$2*$G$2*Средн!$D$22*B16)/100,2)</f>
        <v>0</v>
      </c>
    </row>
    <row r="17" spans="1:8" x14ac:dyDescent="0.35">
      <c r="A17" s="31" t="s">
        <v>76</v>
      </c>
      <c r="B17" s="55">
        <v>2</v>
      </c>
      <c r="C17" s="29">
        <f>ROUND(($E$2*$F$2*$G$2*Средн!$D$22*B17)/100,2)</f>
        <v>0</v>
      </c>
    </row>
    <row r="18" spans="1:8" x14ac:dyDescent="0.35">
      <c r="A18" s="31" t="s">
        <v>127</v>
      </c>
      <c r="B18" s="55">
        <v>8</v>
      </c>
      <c r="C18" s="29">
        <f>ROUND(($E$2*$F$2*$G$2*Средн!$D$22*B18)/100,2)</f>
        <v>0</v>
      </c>
    </row>
    <row r="19" spans="1:8" x14ac:dyDescent="0.35">
      <c r="A19" s="31" t="s">
        <v>128</v>
      </c>
      <c r="B19" s="55">
        <v>18</v>
      </c>
      <c r="C19" s="29">
        <f>ROUND(($E$2*$F$2*$G$2*Средн!$D$22*B19)/100,2)</f>
        <v>0</v>
      </c>
    </row>
    <row r="20" spans="1:8" x14ac:dyDescent="0.35">
      <c r="A20" s="31" t="s">
        <v>129</v>
      </c>
      <c r="B20" s="55">
        <v>2</v>
      </c>
      <c r="C20" s="29">
        <f>ROUND(($E$2*$F$2*$G$2*Средн!$D$22*B20)/100,2)</f>
        <v>0</v>
      </c>
    </row>
    <row r="21" spans="1:8" x14ac:dyDescent="0.35">
      <c r="A21" s="31" t="s">
        <v>130</v>
      </c>
      <c r="B21" s="55">
        <v>2</v>
      </c>
      <c r="C21" s="29">
        <f>ROUND(($E$2*$F$2*$G$2*Средн!$D$22*B21)/100,2)</f>
        <v>0</v>
      </c>
    </row>
    <row r="22" spans="1:8" x14ac:dyDescent="0.35">
      <c r="A22" s="31" t="s">
        <v>77</v>
      </c>
      <c r="B22" s="55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56"/>
      <c r="C24" s="35"/>
      <c r="F24" s="36"/>
      <c r="G24" s="37"/>
      <c r="H24" s="37"/>
    </row>
    <row r="25" spans="1:8" x14ac:dyDescent="0.35">
      <c r="A25" s="52" t="s">
        <v>212</v>
      </c>
      <c r="B25" s="56"/>
      <c r="F25" s="36"/>
      <c r="G25" s="37"/>
      <c r="H25" s="37"/>
    </row>
    <row r="26" spans="1:8" x14ac:dyDescent="0.35">
      <c r="A26" s="46" t="s">
        <v>115</v>
      </c>
      <c r="B26" s="53" t="s">
        <v>131</v>
      </c>
      <c r="C26" s="46" t="s">
        <v>132</v>
      </c>
      <c r="F26" s="36"/>
      <c r="G26" s="37"/>
      <c r="H26" s="37"/>
    </row>
    <row r="27" spans="1:8" x14ac:dyDescent="0.35">
      <c r="A27" s="31" t="s">
        <v>133</v>
      </c>
      <c r="B27" s="58">
        <v>50</v>
      </c>
      <c r="C27" s="29">
        <f>ROUND(($E$2*$F$2*$G$2*Средн!$D$22*B27)/100,2)</f>
        <v>0</v>
      </c>
      <c r="D27" s="30" t="s">
        <v>223</v>
      </c>
      <c r="F27" s="36"/>
      <c r="G27" s="38"/>
      <c r="H27" s="38"/>
    </row>
    <row r="28" spans="1:8" x14ac:dyDescent="0.35">
      <c r="A28" s="31" t="s">
        <v>134</v>
      </c>
      <c r="B28" s="58">
        <v>14</v>
      </c>
      <c r="C28" s="29">
        <f>ROUND(($E$2*$F$2*$G$2*Средн!$D$22*B28)/100,2)</f>
        <v>0</v>
      </c>
    </row>
    <row r="29" spans="1:8" x14ac:dyDescent="0.35">
      <c r="A29" s="31" t="s">
        <v>135</v>
      </c>
      <c r="B29" s="58">
        <v>1.9</v>
      </c>
      <c r="C29" s="29">
        <f>ROUND(($E$2*$F$2*$G$2*Средн!$D$22*B29)/100,2)</f>
        <v>0</v>
      </c>
    </row>
    <row r="30" spans="1:8" x14ac:dyDescent="0.35">
      <c r="A30" s="31" t="s">
        <v>136</v>
      </c>
      <c r="B30" s="58">
        <v>0.8</v>
      </c>
      <c r="C30" s="29">
        <f>ROUND(($E$2*$F$2*$G$2*Средн!$D$22*B30)/100,2)</f>
        <v>0</v>
      </c>
    </row>
    <row r="31" spans="1:8" x14ac:dyDescent="0.35">
      <c r="A31" s="31" t="s">
        <v>137</v>
      </c>
      <c r="B31" s="58">
        <v>1.9</v>
      </c>
      <c r="C31" s="29">
        <f>ROUND(($E$2*$F$2*$G$2*Средн!$D$22*B31)/100,2)</f>
        <v>0</v>
      </c>
    </row>
    <row r="32" spans="1:8" x14ac:dyDescent="0.35">
      <c r="A32" s="31" t="s">
        <v>138</v>
      </c>
      <c r="B32" s="58">
        <v>0.8</v>
      </c>
      <c r="C32" s="29">
        <f>ROUND(($E$2*$F$2*$G$2*Средн!$D$22*B32)/100,2)</f>
        <v>0</v>
      </c>
    </row>
    <row r="33" spans="1:4" x14ac:dyDescent="0.35">
      <c r="A33" s="31" t="s">
        <v>139</v>
      </c>
      <c r="B33" s="58">
        <v>0.8</v>
      </c>
      <c r="C33" s="29">
        <f>ROUND(($E$2*$F$2*$G$2*Средн!$D$22*B33)/100,2)</f>
        <v>0</v>
      </c>
    </row>
    <row r="34" spans="1:4" x14ac:dyDescent="0.35">
      <c r="A34" s="31" t="s">
        <v>140</v>
      </c>
      <c r="B34" s="58">
        <v>1.4</v>
      </c>
      <c r="C34" s="29">
        <f>ROUND(($E$2*$F$2*$G$2*Средн!$D$22*B34)/100,2)</f>
        <v>0</v>
      </c>
    </row>
    <row r="35" spans="1:4" x14ac:dyDescent="0.35">
      <c r="A35" s="31" t="s">
        <v>141</v>
      </c>
      <c r="B35" s="58">
        <v>1.7</v>
      </c>
      <c r="C35" s="29">
        <f>ROUND(($E$2*$F$2*$G$2*Средн!$D$22*B35)/100,2)</f>
        <v>0</v>
      </c>
    </row>
    <row r="36" spans="1:4" x14ac:dyDescent="0.35">
      <c r="A36" s="31" t="s">
        <v>142</v>
      </c>
      <c r="B36" s="58">
        <v>1.4</v>
      </c>
      <c r="C36" s="29">
        <f>ROUND(($E$2*$F$2*$G$2*Средн!$D$22*B36)/100,2)</f>
        <v>0</v>
      </c>
    </row>
    <row r="37" spans="1:4" x14ac:dyDescent="0.35">
      <c r="A37" s="31" t="s">
        <v>143</v>
      </c>
      <c r="B37" s="58">
        <v>0.3</v>
      </c>
      <c r="C37" s="29">
        <f>ROUND(($E$2*$F$2*$G$2*Средн!$D$22*B37)/100,2)</f>
        <v>0</v>
      </c>
    </row>
    <row r="38" spans="1:4" x14ac:dyDescent="0.35">
      <c r="A38" s="31" t="s">
        <v>144</v>
      </c>
      <c r="B38" s="58">
        <v>12</v>
      </c>
      <c r="C38" s="29">
        <f>ROUND(($E$2*$F$2*$G$2*Средн!$D$22*B38)/100,2)</f>
        <v>0</v>
      </c>
      <c r="D38" s="30" t="s">
        <v>222</v>
      </c>
    </row>
    <row r="39" spans="1:4" x14ac:dyDescent="0.35">
      <c r="A39" s="31" t="s">
        <v>145</v>
      </c>
      <c r="B39" s="58">
        <v>1.6</v>
      </c>
      <c r="C39" s="29">
        <f>ROUND(($E$2*$F$2*$G$2*Средн!$D$22*B39)/100,2)</f>
        <v>0</v>
      </c>
    </row>
    <row r="40" spans="1:4" x14ac:dyDescent="0.35">
      <c r="A40" s="31" t="s">
        <v>146</v>
      </c>
      <c r="B40" s="58">
        <v>2.1</v>
      </c>
      <c r="C40" s="29">
        <f>ROUND(($E$2*$F$2*$G$2*Средн!$D$22*B40)/100,2)</f>
        <v>0</v>
      </c>
      <c r="D40" s="30" t="s">
        <v>221</v>
      </c>
    </row>
    <row r="41" spans="1:4" x14ac:dyDescent="0.35">
      <c r="A41" s="31" t="s">
        <v>147</v>
      </c>
      <c r="B41" s="58">
        <v>1.9</v>
      </c>
      <c r="C41" s="29">
        <f>ROUND(($E$2*$F$2*$G$2*Средн!$D$22*B41)/100,2)</f>
        <v>0</v>
      </c>
    </row>
    <row r="42" spans="1:4" x14ac:dyDescent="0.35">
      <c r="A42" s="31" t="s">
        <v>148</v>
      </c>
      <c r="B42" s="58">
        <v>0.8</v>
      </c>
      <c r="C42" s="29">
        <f>ROUND(($E$2*$F$2*$G$2*Средн!$D$22*B42)/100,2)</f>
        <v>0</v>
      </c>
    </row>
    <row r="43" spans="1:4" x14ac:dyDescent="0.35">
      <c r="A43" s="31" t="s">
        <v>149</v>
      </c>
      <c r="B43" s="58">
        <v>0.8</v>
      </c>
      <c r="C43" s="29">
        <f>ROUND(($E$2*$F$2*$G$2*Средн!$D$22*B43)/100,2)</f>
        <v>0</v>
      </c>
    </row>
    <row r="44" spans="1:4" x14ac:dyDescent="0.35">
      <c r="A44" s="31" t="s">
        <v>150</v>
      </c>
      <c r="B44" s="58">
        <v>1.1000000000000001</v>
      </c>
      <c r="C44" s="29">
        <f>ROUND(($E$2*$F$2*$G$2*Средн!$D$22*B44)/100,2)</f>
        <v>0</v>
      </c>
    </row>
    <row r="45" spans="1:4" x14ac:dyDescent="0.35">
      <c r="A45" s="31" t="s">
        <v>151</v>
      </c>
      <c r="B45" s="58">
        <v>1.6</v>
      </c>
      <c r="C45" s="29">
        <f>ROUND(($E$2*$F$2*$G$2*Средн!$D$22*B45)/100,2)</f>
        <v>0</v>
      </c>
    </row>
    <row r="46" spans="1:4" x14ac:dyDescent="0.35">
      <c r="A46" s="31" t="s">
        <v>152</v>
      </c>
      <c r="B46" s="58">
        <v>24</v>
      </c>
      <c r="C46" s="29">
        <f>ROUND(($E$2*$F$2*$G$2*Средн!$D$22*B46)/100,2)</f>
        <v>0</v>
      </c>
      <c r="D46" s="30" t="s">
        <v>220</v>
      </c>
    </row>
    <row r="47" spans="1:4" x14ac:dyDescent="0.35">
      <c r="A47" s="31" t="s">
        <v>153</v>
      </c>
      <c r="B47" s="58">
        <v>1.4</v>
      </c>
      <c r="C47" s="29">
        <f>ROUND(($E$2*$F$2*$G$2*Средн!$D$22*B47)/100,2)</f>
        <v>0</v>
      </c>
    </row>
    <row r="48" spans="1:4" x14ac:dyDescent="0.35">
      <c r="A48" s="31" t="s">
        <v>154</v>
      </c>
      <c r="B48" s="58">
        <v>1.4</v>
      </c>
      <c r="C48" s="29">
        <f>ROUND(($E$2*$F$2*$G$2*Средн!$D$22*B48)/100,2)</f>
        <v>0</v>
      </c>
      <c r="D48" s="30" t="s">
        <v>219</v>
      </c>
    </row>
    <row r="49" spans="1:4" x14ac:dyDescent="0.35">
      <c r="A49" s="31" t="s">
        <v>155</v>
      </c>
      <c r="B49" s="58">
        <v>2.5</v>
      </c>
      <c r="C49" s="29">
        <f>ROUND(($E$2*$F$2*$G$2*Средн!$D$22*B49)/100,2)</f>
        <v>0</v>
      </c>
      <c r="D49" s="30" t="s">
        <v>224</v>
      </c>
    </row>
    <row r="50" spans="1:4" x14ac:dyDescent="0.35">
      <c r="A50" s="31" t="s">
        <v>156</v>
      </c>
      <c r="B50" s="58">
        <v>1.9</v>
      </c>
      <c r="C50" s="29">
        <f>ROUND(($E$2*$F$2*$G$2*Средн!$D$22*B50)/100,2)</f>
        <v>0</v>
      </c>
    </row>
    <row r="51" spans="1:4" x14ac:dyDescent="0.35">
      <c r="A51" s="31" t="s">
        <v>157</v>
      </c>
      <c r="B51" s="58">
        <v>0.5</v>
      </c>
      <c r="C51" s="29">
        <f>ROUND(($E$2*$F$2*$G$2*Средн!$D$22*B51)/100,2)</f>
        <v>0</v>
      </c>
    </row>
    <row r="52" spans="1:4" x14ac:dyDescent="0.35">
      <c r="A52" s="31" t="s">
        <v>158</v>
      </c>
      <c r="B52" s="58">
        <v>1.1000000000000001</v>
      </c>
      <c r="C52" s="29">
        <f>ROUND(($E$2*$F$2*$G$2*Средн!$D$22*B52)/100,2)</f>
        <v>0</v>
      </c>
    </row>
    <row r="53" spans="1:4" x14ac:dyDescent="0.35">
      <c r="A53" s="31" t="s">
        <v>159</v>
      </c>
      <c r="B53" s="58">
        <v>3.5</v>
      </c>
      <c r="C53" s="29">
        <f>ROUND(($E$2*$F$2*$G$2*Средн!$D$22*B53)/100,2)</f>
        <v>0</v>
      </c>
    </row>
    <row r="54" spans="1:4" x14ac:dyDescent="0.35">
      <c r="A54" s="31" t="s">
        <v>160</v>
      </c>
      <c r="B54" s="58">
        <v>0.8</v>
      </c>
      <c r="C54" s="29">
        <f>ROUND(($E$2*$F$2*$G$2*Средн!$D$22*B54)/100,2)</f>
        <v>0</v>
      </c>
    </row>
    <row r="55" spans="1:4" x14ac:dyDescent="0.35">
      <c r="A55" s="31" t="s">
        <v>161</v>
      </c>
      <c r="B55" s="58">
        <v>2.5</v>
      </c>
      <c r="C55" s="29">
        <f>ROUND(($E$2*$F$2*$G$2*Средн!$D$22*B55)/100,2)</f>
        <v>0</v>
      </c>
    </row>
    <row r="56" spans="1:4" x14ac:dyDescent="0.35">
      <c r="A56" s="31" t="s">
        <v>162</v>
      </c>
      <c r="B56" s="58">
        <v>0.3</v>
      </c>
      <c r="C56" s="29">
        <f>ROUND(($E$2*$F$2*$G$2*Средн!$D$22*B56)/100,2)</f>
        <v>0</v>
      </c>
    </row>
    <row r="57" spans="1:4" x14ac:dyDescent="0.35">
      <c r="A57" s="31" t="s">
        <v>163</v>
      </c>
      <c r="B57" s="58">
        <v>0.6</v>
      </c>
      <c r="C57" s="29">
        <f>ROUND(($E$2*$F$2*$G$2*Средн!$D$22*B57)/100,2)</f>
        <v>0</v>
      </c>
    </row>
    <row r="58" spans="1:4" x14ac:dyDescent="0.35">
      <c r="A58" s="31" t="s">
        <v>164</v>
      </c>
      <c r="B58" s="58">
        <v>11</v>
      </c>
      <c r="C58" s="29">
        <f>ROUND(($E$2*$F$2*$G$2*Средн!$D$22*B58)/100,2)</f>
        <v>0</v>
      </c>
      <c r="D58" s="30" t="s">
        <v>218</v>
      </c>
    </row>
    <row r="59" spans="1:4" x14ac:dyDescent="0.35">
      <c r="A59" s="31" t="s">
        <v>165</v>
      </c>
      <c r="B59" s="58">
        <v>4.9000000000000004</v>
      </c>
      <c r="C59" s="29">
        <f>ROUND(($E$2*$F$2*$G$2*Средн!$D$22*B59)/100,2)</f>
        <v>0</v>
      </c>
    </row>
    <row r="60" spans="1:4" x14ac:dyDescent="0.35">
      <c r="A60" s="31" t="s">
        <v>166</v>
      </c>
      <c r="B60" s="58">
        <v>0.5</v>
      </c>
      <c r="C60" s="29">
        <f>ROUND(($E$2*$F$2*$G$2*Средн!$D$22*B60)/100,2)</f>
        <v>0</v>
      </c>
    </row>
    <row r="61" spans="1:4" x14ac:dyDescent="0.35">
      <c r="A61" s="31" t="s">
        <v>167</v>
      </c>
      <c r="B61" s="58">
        <v>0.5</v>
      </c>
      <c r="C61" s="29">
        <f>ROUND(($E$2*$F$2*$G$2*Средн!$D$22*B61)/100,2)</f>
        <v>0</v>
      </c>
    </row>
    <row r="62" spans="1:4" x14ac:dyDescent="0.35">
      <c r="A62" s="31" t="s">
        <v>168</v>
      </c>
      <c r="B62" s="58">
        <v>2.2000000000000002</v>
      </c>
      <c r="C62" s="29">
        <f>ROUND(($E$2*$F$2*$G$2*Средн!$D$22*B62)/100,2)</f>
        <v>0</v>
      </c>
    </row>
    <row r="63" spans="1:4" x14ac:dyDescent="0.35">
      <c r="A63" s="31" t="s">
        <v>169</v>
      </c>
      <c r="B63" s="58">
        <v>1.4</v>
      </c>
      <c r="C63" s="29">
        <f>ROUND(($E$2*$F$2*$G$2*Средн!$D$22*B63)/100,2)</f>
        <v>0</v>
      </c>
    </row>
    <row r="64" spans="1:4" x14ac:dyDescent="0.35">
      <c r="A64" s="31" t="s">
        <v>170</v>
      </c>
      <c r="B64" s="58">
        <v>0.8</v>
      </c>
      <c r="C64" s="29">
        <f>ROUND(($E$2*$F$2*$G$2*Средн!$D$22*B64)/100,2)</f>
        <v>0</v>
      </c>
    </row>
    <row r="65" spans="1:4" x14ac:dyDescent="0.35">
      <c r="A65" s="31" t="s">
        <v>171</v>
      </c>
      <c r="B65" s="58">
        <v>0.5</v>
      </c>
      <c r="C65" s="29">
        <f>ROUND(($E$2*$F$2*$G$2*Средн!$D$22*B65)/100,2)</f>
        <v>0</v>
      </c>
    </row>
    <row r="66" spans="1:4" x14ac:dyDescent="0.35">
      <c r="A66" s="31" t="s">
        <v>172</v>
      </c>
      <c r="B66" s="58">
        <v>0.5</v>
      </c>
      <c r="C66" s="29">
        <f>ROUND(($E$2*$F$2*$G$2*Средн!$D$22*B66)/100,2)</f>
        <v>0</v>
      </c>
    </row>
    <row r="67" spans="1:4" x14ac:dyDescent="0.35">
      <c r="A67" s="31" t="s">
        <v>173</v>
      </c>
      <c r="B67" s="58">
        <v>0.8</v>
      </c>
      <c r="C67" s="29">
        <f>ROUND(($E$2*$F$2*$G$2*Средн!$D$22*B67)/100,2)</f>
        <v>0</v>
      </c>
    </row>
    <row r="68" spans="1:4" x14ac:dyDescent="0.35">
      <c r="A68" s="31" t="s">
        <v>174</v>
      </c>
      <c r="B68" s="58">
        <v>0.5</v>
      </c>
      <c r="C68" s="29">
        <f>ROUND(($E$2*$F$2*$G$2*Средн!$D$22*B68)/100,2)</f>
        <v>0</v>
      </c>
    </row>
    <row r="69" spans="1:4" x14ac:dyDescent="0.35">
      <c r="A69" s="31" t="s">
        <v>175</v>
      </c>
      <c r="B69" s="58">
        <v>0.5</v>
      </c>
      <c r="C69" s="29">
        <f>ROUND(($E$2*$F$2*$G$2*Средн!$D$22*B69)/100,2)</f>
        <v>0</v>
      </c>
    </row>
    <row r="70" spans="1:4" x14ac:dyDescent="0.35">
      <c r="A70" s="31" t="s">
        <v>176</v>
      </c>
      <c r="B70" s="58">
        <v>0.8</v>
      </c>
      <c r="C70" s="29">
        <f>ROUND(($E$2*$F$2*$G$2*Средн!$D$22*B70)/100,2)</f>
        <v>0</v>
      </c>
    </row>
    <row r="71" spans="1:4" x14ac:dyDescent="0.35">
      <c r="A71" s="31" t="s">
        <v>177</v>
      </c>
      <c r="B71" s="58">
        <v>1.4</v>
      </c>
      <c r="C71" s="29">
        <f>ROUND(($E$2*$F$2*$G$2*Средн!$D$22*B71)/100,2)</f>
        <v>0</v>
      </c>
      <c r="D71" s="30" t="s">
        <v>213</v>
      </c>
    </row>
    <row r="72" spans="1:4" x14ac:dyDescent="0.35">
      <c r="A72" s="31" t="s">
        <v>178</v>
      </c>
      <c r="B72" s="58">
        <v>0.6</v>
      </c>
      <c r="C72" s="29">
        <f>ROUND(($E$2*$F$2*$G$2*Средн!$D$22*B72)/100,2)</f>
        <v>0</v>
      </c>
      <c r="D72" s="30" t="s">
        <v>213</v>
      </c>
    </row>
    <row r="73" spans="1:4" x14ac:dyDescent="0.35">
      <c r="A73" s="31" t="s">
        <v>179</v>
      </c>
      <c r="B73" s="58">
        <v>2.5</v>
      </c>
      <c r="C73" s="29">
        <f>ROUND(($E$2*$F$2*$G$2*Средн!$D$22*B73)/100,2)</f>
        <v>0</v>
      </c>
    </row>
    <row r="74" spans="1:4" x14ac:dyDescent="0.35">
      <c r="A74" s="31" t="s">
        <v>180</v>
      </c>
      <c r="B74" s="58">
        <v>0.7</v>
      </c>
      <c r="C74" s="29">
        <f>ROUND(($E$2*$F$2*$G$2*Средн!$D$22*B74)/100,2)</f>
        <v>0</v>
      </c>
    </row>
    <row r="75" spans="1:4" x14ac:dyDescent="0.35">
      <c r="A75" s="31" t="s">
        <v>181</v>
      </c>
      <c r="B75" s="58">
        <v>1.8</v>
      </c>
      <c r="C75" s="29">
        <f>ROUND(($E$2*$F$2*$G$2*Средн!$D$22*B75)/100,2)</f>
        <v>0</v>
      </c>
    </row>
    <row r="76" spans="1:4" x14ac:dyDescent="0.35">
      <c r="A76" s="31" t="s">
        <v>182</v>
      </c>
      <c r="B76" s="58">
        <v>4.5</v>
      </c>
      <c r="C76" s="29">
        <f>ROUND(($E$2*$F$2*$G$2*Средн!$D$22*B76)/100,2)</f>
        <v>0</v>
      </c>
    </row>
    <row r="77" spans="1:4" x14ac:dyDescent="0.35">
      <c r="A77" s="31" t="s">
        <v>183</v>
      </c>
      <c r="B77" s="58">
        <v>4.5</v>
      </c>
      <c r="C77" s="29">
        <f>ROUND(($E$2*$F$2*$G$2*Средн!$D$22*B77)/100,2)</f>
        <v>0</v>
      </c>
    </row>
    <row r="78" spans="1:4" x14ac:dyDescent="0.35">
      <c r="A78" s="31" t="s">
        <v>184</v>
      </c>
      <c r="B78" s="58">
        <v>10</v>
      </c>
      <c r="C78" s="29">
        <f>ROUND(($E$2*$F$2*$G$2*Средн!$D$22*B78)/100,2)</f>
        <v>0</v>
      </c>
    </row>
    <row r="79" spans="1:4" x14ac:dyDescent="0.35">
      <c r="A79" s="31" t="s">
        <v>185</v>
      </c>
      <c r="B79" s="58">
        <v>5.5</v>
      </c>
      <c r="C79" s="29">
        <f>ROUND(($E$2*$F$2*$G$2*Средн!$D$22*B79)/100,2)</f>
        <v>0</v>
      </c>
      <c r="D79" s="30" t="s">
        <v>216</v>
      </c>
    </row>
    <row r="80" spans="1:4" x14ac:dyDescent="0.35">
      <c r="A80" s="31" t="s">
        <v>186</v>
      </c>
      <c r="B80" s="58">
        <v>4.5</v>
      </c>
      <c r="C80" s="29">
        <f>ROUND(($E$2*$F$2*$G$2*Средн!$D$22*B80)/100,2)</f>
        <v>0</v>
      </c>
      <c r="D80" s="30" t="s">
        <v>215</v>
      </c>
    </row>
    <row r="81" spans="1:4" x14ac:dyDescent="0.35">
      <c r="A81" s="31" t="s">
        <v>187</v>
      </c>
      <c r="B81" s="58">
        <v>10</v>
      </c>
      <c r="C81" s="29">
        <f>ROUND(($E$2*$F$2*$G$2*Средн!$D$22*B81)/100,2)</f>
        <v>0</v>
      </c>
      <c r="D81" s="30" t="s">
        <v>217</v>
      </c>
    </row>
    <row r="82" spans="1:4" x14ac:dyDescent="0.35">
      <c r="A82" s="31" t="s">
        <v>188</v>
      </c>
      <c r="B82" s="58">
        <v>3</v>
      </c>
      <c r="C82" s="29">
        <f>ROUND(($E$2*$F$2*$G$2*Средн!$D$22*B82)/100,2)</f>
        <v>0</v>
      </c>
    </row>
    <row r="83" spans="1:4" x14ac:dyDescent="0.35">
      <c r="A83" s="31" t="s">
        <v>189</v>
      </c>
      <c r="B83" s="58">
        <v>0.5</v>
      </c>
      <c r="C83" s="29">
        <f>ROUND(($E$2*$F$2*$G$2*Средн!$D$22*B83)/100,2)</f>
        <v>0</v>
      </c>
    </row>
    <row r="84" spans="1:4" x14ac:dyDescent="0.35">
      <c r="A84" s="31" t="s">
        <v>190</v>
      </c>
      <c r="B84" s="58">
        <v>0.8</v>
      </c>
      <c r="C84" s="29">
        <f>ROUND(($E$2*$F$2*$G$2*Средн!$D$22*B84)/100,2)</f>
        <v>0</v>
      </c>
    </row>
    <row r="85" spans="1:4" x14ac:dyDescent="0.35">
      <c r="A85" s="31" t="s">
        <v>76</v>
      </c>
      <c r="B85" s="58">
        <v>1.2</v>
      </c>
      <c r="C85" s="29">
        <f>ROUND(($E$2*$F$2*$G$2*Средн!$D$22*B85)/100,2)</f>
        <v>0</v>
      </c>
    </row>
    <row r="86" spans="1:4" x14ac:dyDescent="0.35">
      <c r="A86" s="31" t="s">
        <v>191</v>
      </c>
      <c r="B86" s="58">
        <v>0.5</v>
      </c>
      <c r="C86" s="29">
        <f>ROUND(($E$2*$F$2*$G$2*Средн!$D$22*B86)/100,2)</f>
        <v>0</v>
      </c>
    </row>
    <row r="87" spans="1:4" x14ac:dyDescent="0.35">
      <c r="A87" s="31" t="s">
        <v>192</v>
      </c>
      <c r="B87" s="58">
        <v>0.3</v>
      </c>
      <c r="C87" s="29">
        <f>ROUND(($E$2*$F$2*$G$2*Средн!$D$22*B87)/100,2)</f>
        <v>0</v>
      </c>
    </row>
    <row r="88" spans="1:4" x14ac:dyDescent="0.35">
      <c r="A88" s="31" t="s">
        <v>193</v>
      </c>
      <c r="B88" s="58">
        <v>3.5</v>
      </c>
      <c r="C88" s="29">
        <f>ROUND(($E$2*$F$2*$G$2*Средн!$D$22*B88)/100,2)</f>
        <v>0</v>
      </c>
    </row>
    <row r="89" spans="1:4" x14ac:dyDescent="0.35">
      <c r="A89" s="31" t="s">
        <v>194</v>
      </c>
      <c r="B89" s="58">
        <v>0.5</v>
      </c>
      <c r="C89" s="29">
        <f>ROUND(($E$2*$F$2*$G$2*Средн!$D$22*B89)/100,2)</f>
        <v>0</v>
      </c>
    </row>
    <row r="90" spans="1:4" x14ac:dyDescent="0.35">
      <c r="A90" s="31" t="s">
        <v>195</v>
      </c>
      <c r="B90" s="58">
        <v>0.5</v>
      </c>
      <c r="C90" s="29">
        <f>ROUND(($E$2*$F$2*$G$2*Средн!$D$22*B90)/100,2)</f>
        <v>0</v>
      </c>
    </row>
    <row r="91" spans="1:4" x14ac:dyDescent="0.35">
      <c r="A91" s="31" t="s">
        <v>196</v>
      </c>
      <c r="B91" s="58">
        <v>0.3</v>
      </c>
      <c r="C91" s="29">
        <f>ROUND(($E$2*$F$2*$G$2*Средн!$D$22*B91)/100,2)</f>
        <v>0</v>
      </c>
    </row>
    <row r="92" spans="1:4" x14ac:dyDescent="0.35">
      <c r="A92" s="31" t="s">
        <v>197</v>
      </c>
      <c r="B92" s="58">
        <v>0.7</v>
      </c>
      <c r="C92" s="29">
        <f>ROUND(($E$2*$F$2*$G$2*Средн!$D$22*B92)/100,2)</f>
        <v>0</v>
      </c>
    </row>
    <row r="93" spans="1:4" x14ac:dyDescent="0.35">
      <c r="A93" s="31" t="s">
        <v>198</v>
      </c>
      <c r="B93" s="58">
        <v>12.5</v>
      </c>
      <c r="C93" s="29">
        <f>ROUND(($E$2*$F$2*$G$2*Средн!$D$22*B93)/100,2)</f>
        <v>0</v>
      </c>
    </row>
    <row r="94" spans="1:4" x14ac:dyDescent="0.35">
      <c r="A94" s="31" t="s">
        <v>199</v>
      </c>
      <c r="B94" s="58">
        <v>0.5</v>
      </c>
      <c r="C94" s="29">
        <f>ROUND(($E$2*$F$2*$G$2*Средн!$D$22*B94)/100,2)</f>
        <v>0</v>
      </c>
    </row>
    <row r="95" spans="1:4" x14ac:dyDescent="0.35">
      <c r="A95" s="31" t="s">
        <v>200</v>
      </c>
      <c r="B95" s="58">
        <v>0.5</v>
      </c>
      <c r="C95" s="29">
        <f>ROUND(($E$2*$F$2*$G$2*Средн!$D$22*B95)/100,2)</f>
        <v>0</v>
      </c>
    </row>
    <row r="96" spans="1:4" x14ac:dyDescent="0.35">
      <c r="A96" s="31" t="s">
        <v>201</v>
      </c>
      <c r="B96" s="58">
        <v>1</v>
      </c>
      <c r="C96" s="29">
        <f>ROUND(($E$2*$F$2*$G$2*Средн!$D$22*B96)/100,2)</f>
        <v>0</v>
      </c>
    </row>
    <row r="97" spans="1:4" x14ac:dyDescent="0.35">
      <c r="A97" s="31" t="s">
        <v>202</v>
      </c>
      <c r="B97" s="58">
        <v>0.5</v>
      </c>
      <c r="C97" s="29">
        <f>ROUND(($E$2*$F$2*$G$2*Средн!$D$22*B97)/100,2)</f>
        <v>0</v>
      </c>
    </row>
    <row r="98" spans="1:4" x14ac:dyDescent="0.35">
      <c r="A98" s="31" t="s">
        <v>203</v>
      </c>
      <c r="B98" s="58">
        <v>0.8</v>
      </c>
      <c r="C98" s="29">
        <f>ROUND(($E$2*$F$2*$G$2*Средн!$D$22*B98)/100,2)</f>
        <v>0</v>
      </c>
    </row>
    <row r="99" spans="1:4" x14ac:dyDescent="0.35">
      <c r="A99" s="31" t="s">
        <v>204</v>
      </c>
      <c r="B99" s="58">
        <v>2.1</v>
      </c>
      <c r="C99" s="29">
        <f>ROUND(($E$2*$F$2*$G$2*Средн!$D$22*B99)/100,2)</f>
        <v>0</v>
      </c>
    </row>
    <row r="100" spans="1:4" x14ac:dyDescent="0.35">
      <c r="A100" s="31" t="s">
        <v>205</v>
      </c>
      <c r="B100" s="58">
        <v>0.5</v>
      </c>
      <c r="C100" s="29">
        <f>ROUND(($E$2*$F$2*$G$2*Средн!$D$22*B100)/100,2)</f>
        <v>0</v>
      </c>
    </row>
    <row r="101" spans="1:4" x14ac:dyDescent="0.35">
      <c r="A101" s="31" t="s">
        <v>206</v>
      </c>
      <c r="B101" s="58">
        <v>0.6</v>
      </c>
      <c r="C101" s="29">
        <f>ROUND(($E$2*$F$2*$G$2*Средн!$D$22*B101)/100,2)</f>
        <v>0</v>
      </c>
    </row>
    <row r="102" spans="1:4" x14ac:dyDescent="0.35">
      <c r="A102" s="31" t="s">
        <v>207</v>
      </c>
      <c r="B102" s="58">
        <v>1.1000000000000001</v>
      </c>
      <c r="C102" s="29">
        <f>ROUND(($E$2*$F$2*$G$2*Средн!$D$22*B102)/100,2)</f>
        <v>0</v>
      </c>
    </row>
    <row r="103" spans="1:4" x14ac:dyDescent="0.35">
      <c r="A103" s="31" t="s">
        <v>208</v>
      </c>
      <c r="B103" s="58">
        <v>0.9</v>
      </c>
      <c r="C103" s="29">
        <f>ROUND(($E$2*$F$2*$G$2*Средн!$D$22*B103)/100,2)</f>
        <v>0</v>
      </c>
    </row>
    <row r="104" spans="1:4" x14ac:dyDescent="0.35">
      <c r="A104" s="31" t="s">
        <v>209</v>
      </c>
      <c r="B104" s="58">
        <v>0.8</v>
      </c>
      <c r="C104" s="29">
        <f>ROUND(($E$2*$F$2*$G$2*Средн!$D$22*B104)/100,2)</f>
        <v>0</v>
      </c>
    </row>
    <row r="105" spans="1:4" x14ac:dyDescent="0.35">
      <c r="A105" s="31" t="s">
        <v>210</v>
      </c>
      <c r="B105" s="58">
        <v>0.3</v>
      </c>
      <c r="C105" s="29">
        <f>ROUND(($E$2*$F$2*$G$2*Средн!$D$22*B105)/100,2)</f>
        <v>0</v>
      </c>
    </row>
    <row r="106" spans="1:4" x14ac:dyDescent="0.35">
      <c r="A106" s="31" t="s">
        <v>211</v>
      </c>
      <c r="B106" s="58">
        <v>0.8</v>
      </c>
      <c r="C106" s="29">
        <f>ROUND(($E$2*$F$2*$G$2*Средн!$D$22*B106)/100,2)</f>
        <v>0</v>
      </c>
    </row>
    <row r="107" spans="1:4" x14ac:dyDescent="0.35">
      <c r="A107" s="31" t="s">
        <v>77</v>
      </c>
      <c r="B107" s="58">
        <v>3</v>
      </c>
      <c r="C107" s="29">
        <f>ROUND(($E$2*$F$2*$G$2*Средн!$D$22*B107)/100,2)</f>
        <v>0</v>
      </c>
      <c r="D107" s="30" t="s">
        <v>214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265</v>
      </c>
      <c r="B109" s="56"/>
      <c r="C109" s="33"/>
    </row>
    <row r="110" spans="1:4" x14ac:dyDescent="0.35">
      <c r="A110" s="30" t="s">
        <v>266</v>
      </c>
      <c r="B110" s="56"/>
      <c r="C110" s="33"/>
    </row>
    <row r="111" spans="1:4" x14ac:dyDescent="0.35">
      <c r="A111" s="30" t="s">
        <v>267</v>
      </c>
      <c r="B111" s="56"/>
      <c r="C111" s="33"/>
    </row>
    <row r="112" spans="1:4" x14ac:dyDescent="0.35">
      <c r="A112" s="30" t="s">
        <v>268</v>
      </c>
      <c r="B112" s="56"/>
      <c r="C112" s="33"/>
    </row>
    <row r="114" spans="1:9" x14ac:dyDescent="0.35">
      <c r="A114" s="52" t="s">
        <v>273</v>
      </c>
      <c r="B114" s="56"/>
    </row>
    <row r="115" spans="1:9" x14ac:dyDescent="0.35">
      <c r="A115" s="46" t="s">
        <v>115</v>
      </c>
      <c r="B115" s="61" t="s">
        <v>259</v>
      </c>
      <c r="C115" s="60" t="s">
        <v>132</v>
      </c>
      <c r="D115" s="61" t="s">
        <v>259</v>
      </c>
      <c r="E115" s="62" t="s">
        <v>260</v>
      </c>
      <c r="F115" s="63" t="s">
        <v>261</v>
      </c>
      <c r="G115" s="63" t="s">
        <v>262</v>
      </c>
      <c r="H115" s="63" t="s">
        <v>263</v>
      </c>
      <c r="I115" s="63" t="s">
        <v>264</v>
      </c>
    </row>
    <row r="116" spans="1:9" x14ac:dyDescent="0.35">
      <c r="A116" s="31" t="s">
        <v>225</v>
      </c>
      <c r="B116" s="58">
        <v>24</v>
      </c>
      <c r="C116" s="29">
        <f>ROUND(($E$2*$F$2*$G$2*Средн!$D$22*B116)/100,2)</f>
        <v>0</v>
      </c>
      <c r="D116" s="59" t="s">
        <v>226</v>
      </c>
      <c r="E116" s="59" t="s">
        <v>227</v>
      </c>
      <c r="F116" s="59" t="s">
        <v>228</v>
      </c>
      <c r="G116" s="59" t="s">
        <v>229</v>
      </c>
      <c r="H116" s="59" t="s">
        <v>230</v>
      </c>
      <c r="I116" s="59" t="s">
        <v>231</v>
      </c>
    </row>
    <row r="117" spans="1:9" x14ac:dyDescent="0.35">
      <c r="A117" s="31" t="s">
        <v>232</v>
      </c>
      <c r="B117" s="58">
        <v>1</v>
      </c>
      <c r="C117" s="29">
        <f>ROUND(($E$2*$F$2*$G$2*Средн!$D$22*B117)/100,2)</f>
        <v>0</v>
      </c>
      <c r="D117" s="58">
        <v>1</v>
      </c>
      <c r="E117" s="58">
        <v>1</v>
      </c>
      <c r="F117" s="58">
        <v>0.9</v>
      </c>
      <c r="G117" s="58">
        <v>0.9</v>
      </c>
      <c r="H117" s="58">
        <v>0.8</v>
      </c>
      <c r="I117" s="59">
        <v>1</v>
      </c>
    </row>
    <row r="118" spans="1:9" x14ac:dyDescent="0.35">
      <c r="A118" s="31" t="s">
        <v>135</v>
      </c>
      <c r="B118" s="58">
        <v>1.3</v>
      </c>
      <c r="C118" s="29">
        <f>ROUND(($E$2*$F$2*$G$2*Средн!$D$22*B118)/100,2)</f>
        <v>0</v>
      </c>
      <c r="D118" s="59" t="s">
        <v>269</v>
      </c>
      <c r="E118" s="59" t="s">
        <v>270</v>
      </c>
      <c r="F118" s="59" t="s">
        <v>270</v>
      </c>
      <c r="G118" s="59" t="s">
        <v>271</v>
      </c>
      <c r="H118" s="59" t="s">
        <v>272</v>
      </c>
      <c r="I118" s="59" t="s">
        <v>270</v>
      </c>
    </row>
    <row r="119" spans="1:9" x14ac:dyDescent="0.35">
      <c r="A119" s="31" t="s">
        <v>138</v>
      </c>
      <c r="B119" s="58">
        <v>0.4</v>
      </c>
      <c r="C119" s="29">
        <f>ROUND(($E$2*$F$2*$G$2*Средн!$D$22*B119)/100,2)</f>
        <v>0</v>
      </c>
      <c r="D119" s="58">
        <v>0.4</v>
      </c>
      <c r="E119" s="58">
        <v>0.4</v>
      </c>
      <c r="F119" s="58">
        <v>0.4</v>
      </c>
      <c r="G119" s="58">
        <v>0.4</v>
      </c>
      <c r="H119" s="58">
        <v>0.4</v>
      </c>
      <c r="I119" s="59">
        <v>0.4</v>
      </c>
    </row>
    <row r="120" spans="1:9" x14ac:dyDescent="0.35">
      <c r="A120" s="31" t="s">
        <v>141</v>
      </c>
      <c r="B120" s="58">
        <v>0.6</v>
      </c>
      <c r="C120" s="29">
        <f>ROUND(($E$2*$F$2*$G$2*Средн!$D$22*B120)/100,2)</f>
        <v>0</v>
      </c>
      <c r="D120" s="58">
        <v>0.6</v>
      </c>
      <c r="E120" s="58">
        <v>0.5</v>
      </c>
      <c r="F120" s="58">
        <v>0.5</v>
      </c>
      <c r="G120" s="58">
        <v>0.5</v>
      </c>
      <c r="H120" s="58">
        <v>0.4</v>
      </c>
      <c r="I120" s="59">
        <v>0.5</v>
      </c>
    </row>
    <row r="121" spans="1:9" x14ac:dyDescent="0.35">
      <c r="A121" s="31" t="s">
        <v>233</v>
      </c>
      <c r="B121" s="58">
        <v>0.5</v>
      </c>
      <c r="C121" s="29">
        <f>ROUND(($E$2*$F$2*$G$2*Средн!$D$22*B121)/100,2)</f>
        <v>0</v>
      </c>
      <c r="D121" s="58">
        <v>0.5</v>
      </c>
      <c r="E121" s="58">
        <v>0.5</v>
      </c>
      <c r="F121" s="58">
        <v>0.5</v>
      </c>
      <c r="G121" s="58">
        <v>0.5</v>
      </c>
      <c r="H121" s="58">
        <v>0.4</v>
      </c>
      <c r="I121" s="59">
        <v>0.5</v>
      </c>
    </row>
    <row r="122" spans="1:9" x14ac:dyDescent="0.35">
      <c r="A122" s="31" t="s">
        <v>147</v>
      </c>
      <c r="B122" s="58">
        <v>0.3</v>
      </c>
      <c r="C122" s="29">
        <f>ROUND(($E$2*$F$2*$G$2*Средн!$D$22*B122)/100,2)</f>
        <v>0</v>
      </c>
      <c r="D122" s="58">
        <v>0.3</v>
      </c>
      <c r="E122" s="58">
        <v>0.3</v>
      </c>
      <c r="F122" s="58">
        <v>0.3</v>
      </c>
      <c r="G122" s="58">
        <v>0.3</v>
      </c>
      <c r="H122" s="58">
        <v>0.3</v>
      </c>
      <c r="I122" s="59">
        <v>0.3</v>
      </c>
    </row>
    <row r="123" spans="1:9" x14ac:dyDescent="0.35">
      <c r="A123" s="31" t="s">
        <v>234</v>
      </c>
      <c r="B123" s="58">
        <v>0.9</v>
      </c>
      <c r="C123" s="29">
        <f>ROUND(($E$2*$F$2*$G$2*Средн!$D$22*B123)/100,2)</f>
        <v>0</v>
      </c>
      <c r="D123" s="58">
        <v>0.9</v>
      </c>
      <c r="E123" s="58">
        <v>0.8</v>
      </c>
      <c r="F123" s="58">
        <v>0.8</v>
      </c>
      <c r="G123" s="58">
        <v>0.7</v>
      </c>
      <c r="H123" s="58">
        <v>0.6</v>
      </c>
      <c r="I123" s="59">
        <v>0.8</v>
      </c>
    </row>
    <row r="124" spans="1:9" x14ac:dyDescent="0.35">
      <c r="A124" s="31" t="s">
        <v>235</v>
      </c>
      <c r="B124" s="58">
        <v>2.8</v>
      </c>
      <c r="C124" s="29">
        <f>ROUND(($E$2*$F$2*$G$2*Средн!$D$22*B124)/100,2)</f>
        <v>0</v>
      </c>
      <c r="D124" s="58">
        <v>2.8</v>
      </c>
      <c r="E124" s="58">
        <v>2.6</v>
      </c>
      <c r="F124" s="58">
        <v>2.5</v>
      </c>
      <c r="G124" s="58">
        <v>2.2999999999999998</v>
      </c>
      <c r="H124" s="58">
        <v>2</v>
      </c>
      <c r="I124" s="59">
        <v>2.6</v>
      </c>
    </row>
    <row r="125" spans="1:9" x14ac:dyDescent="0.35">
      <c r="A125" s="31" t="s">
        <v>236</v>
      </c>
      <c r="B125" s="58">
        <v>0.6</v>
      </c>
      <c r="C125" s="29">
        <f>ROUND(($E$2*$F$2*$G$2*Средн!$D$22*B125)/100,2)</f>
        <v>0</v>
      </c>
      <c r="D125" s="58">
        <v>0.6</v>
      </c>
      <c r="E125" s="58">
        <v>0.6</v>
      </c>
      <c r="F125" s="58">
        <v>0.6</v>
      </c>
      <c r="G125" s="58">
        <v>0.6</v>
      </c>
      <c r="H125" s="58">
        <v>0.5</v>
      </c>
      <c r="I125" s="59">
        <v>0.6</v>
      </c>
    </row>
    <row r="126" spans="1:9" x14ac:dyDescent="0.35">
      <c r="A126" s="31" t="s">
        <v>156</v>
      </c>
      <c r="B126" s="58">
        <v>2.1</v>
      </c>
      <c r="C126" s="29">
        <f>ROUND(($E$2*$F$2*$G$2*Средн!$D$22*B126)/100,2)</f>
        <v>0</v>
      </c>
      <c r="D126" s="58">
        <v>2.1</v>
      </c>
      <c r="E126" s="58">
        <v>2</v>
      </c>
      <c r="F126" s="58">
        <v>1.9</v>
      </c>
      <c r="G126" s="58">
        <v>1.8</v>
      </c>
      <c r="H126" s="58">
        <v>1.6</v>
      </c>
      <c r="I126" s="59">
        <v>2.1</v>
      </c>
    </row>
    <row r="127" spans="1:9" x14ac:dyDescent="0.35">
      <c r="A127" s="31" t="s">
        <v>237</v>
      </c>
      <c r="B127" s="58">
        <v>0.5</v>
      </c>
      <c r="C127" s="29">
        <f>ROUND(($E$2*$F$2*$G$2*Средн!$D$22*B127)/100,2)</f>
        <v>0</v>
      </c>
      <c r="D127" s="58">
        <v>0.5</v>
      </c>
      <c r="E127" s="58">
        <v>0.5</v>
      </c>
      <c r="F127" s="58">
        <v>0.5</v>
      </c>
      <c r="G127" s="58">
        <v>0.5</v>
      </c>
      <c r="H127" s="58">
        <v>0.5</v>
      </c>
      <c r="I127" s="59">
        <v>0.5</v>
      </c>
    </row>
    <row r="128" spans="1:9" x14ac:dyDescent="0.35">
      <c r="A128" s="31" t="s">
        <v>158</v>
      </c>
      <c r="B128" s="58">
        <v>0.8</v>
      </c>
      <c r="C128" s="29">
        <f>ROUND(($E$2*$F$2*$G$2*Средн!$D$22*B128)/100,2)</f>
        <v>0</v>
      </c>
      <c r="D128" s="58">
        <v>0.8</v>
      </c>
      <c r="E128" s="58">
        <v>0.8</v>
      </c>
      <c r="F128" s="58">
        <v>0.8</v>
      </c>
      <c r="G128" s="58">
        <v>0.8</v>
      </c>
      <c r="H128" s="58">
        <v>0.7</v>
      </c>
      <c r="I128" s="59">
        <v>0.8</v>
      </c>
    </row>
    <row r="129" spans="1:9" x14ac:dyDescent="0.35">
      <c r="A129" s="31" t="s">
        <v>238</v>
      </c>
      <c r="B129" s="58">
        <v>1.3</v>
      </c>
      <c r="C129" s="29">
        <f>ROUND(($E$2*$F$2*$G$2*Средн!$D$22*B129)/100,2)</f>
        <v>0</v>
      </c>
      <c r="D129" s="58">
        <v>1.3</v>
      </c>
      <c r="E129" s="58">
        <v>1.2</v>
      </c>
      <c r="F129" s="58">
        <v>1.2</v>
      </c>
      <c r="G129" s="58">
        <v>1.1000000000000001</v>
      </c>
      <c r="H129" s="58">
        <v>1</v>
      </c>
      <c r="I129" s="59">
        <v>1.2</v>
      </c>
    </row>
    <row r="130" spans="1:9" x14ac:dyDescent="0.35">
      <c r="A130" s="31" t="s">
        <v>239</v>
      </c>
      <c r="B130" s="58">
        <v>0.6</v>
      </c>
      <c r="C130" s="29">
        <f>ROUND(($E$2*$F$2*$G$2*Средн!$D$22*B130)/100,2)</f>
        <v>0</v>
      </c>
      <c r="D130" s="58">
        <v>0.6</v>
      </c>
      <c r="E130" s="58">
        <v>0.6</v>
      </c>
      <c r="F130" s="58">
        <v>0.6</v>
      </c>
      <c r="G130" s="58">
        <v>0.6</v>
      </c>
      <c r="H130" s="58">
        <v>0.6</v>
      </c>
      <c r="I130" s="59">
        <v>0.6</v>
      </c>
    </row>
    <row r="131" spans="1:9" x14ac:dyDescent="0.35">
      <c r="A131" s="31" t="s">
        <v>240</v>
      </c>
      <c r="B131" s="58">
        <v>0.7</v>
      </c>
      <c r="C131" s="29">
        <f>ROUND(($E$2*$F$2*$G$2*Средн!$D$22*B131)/100,2)</f>
        <v>0</v>
      </c>
      <c r="D131" s="58">
        <v>0.7</v>
      </c>
      <c r="E131" s="58">
        <v>0.7</v>
      </c>
      <c r="F131" s="58">
        <v>0.6</v>
      </c>
      <c r="G131" s="58">
        <v>0.6</v>
      </c>
      <c r="H131" s="58">
        <v>0.5</v>
      </c>
      <c r="I131" s="59">
        <v>0.7</v>
      </c>
    </row>
    <row r="132" spans="1:9" x14ac:dyDescent="0.35">
      <c r="A132" s="31" t="s">
        <v>241</v>
      </c>
      <c r="B132" s="58">
        <v>0.3</v>
      </c>
      <c r="C132" s="29">
        <f>ROUND(($E$2*$F$2*$G$2*Средн!$D$22*B132)/100,2)</f>
        <v>0</v>
      </c>
      <c r="D132" s="58">
        <v>0.3</v>
      </c>
      <c r="E132" s="58">
        <v>0.3</v>
      </c>
      <c r="F132" s="58">
        <v>0.3</v>
      </c>
      <c r="G132" s="58">
        <v>0.3</v>
      </c>
      <c r="H132" s="58">
        <v>0.3</v>
      </c>
      <c r="I132" s="59">
        <v>0.3</v>
      </c>
    </row>
    <row r="133" spans="1:9" x14ac:dyDescent="0.35">
      <c r="A133" s="31" t="s">
        <v>242</v>
      </c>
      <c r="B133" s="58">
        <v>0.2</v>
      </c>
      <c r="C133" s="29">
        <f>ROUND(($E$2*$F$2*$G$2*Средн!$D$22*B133)/100,2)</f>
        <v>0</v>
      </c>
      <c r="D133" s="58">
        <v>0.2</v>
      </c>
      <c r="E133" s="58">
        <v>0.2</v>
      </c>
      <c r="F133" s="58">
        <v>0.2</v>
      </c>
      <c r="G133" s="58">
        <v>0.2</v>
      </c>
      <c r="H133" s="58">
        <v>0.2</v>
      </c>
      <c r="I133" s="59">
        <v>0.2</v>
      </c>
    </row>
    <row r="134" spans="1:9" x14ac:dyDescent="0.35">
      <c r="A134" s="31" t="s">
        <v>243</v>
      </c>
      <c r="B134" s="58">
        <v>0.6</v>
      </c>
      <c r="C134" s="29">
        <f>ROUND(($E$2*$F$2*$G$2*Средн!$D$22*B134)/100,2)</f>
        <v>0</v>
      </c>
      <c r="D134" s="58">
        <v>0.6</v>
      </c>
      <c r="E134" s="58">
        <v>0.6</v>
      </c>
      <c r="F134" s="58">
        <v>0.6</v>
      </c>
      <c r="G134" s="58">
        <v>0.5</v>
      </c>
      <c r="H134" s="58">
        <v>0.5</v>
      </c>
      <c r="I134" s="59">
        <v>0.6</v>
      </c>
    </row>
    <row r="135" spans="1:9" x14ac:dyDescent="0.35">
      <c r="A135" s="31" t="s">
        <v>244</v>
      </c>
      <c r="B135" s="58">
        <v>0.2</v>
      </c>
      <c r="C135" s="29">
        <f>ROUND(($E$2*$F$2*$G$2*Средн!$D$22*B135)/100,2)</f>
        <v>0</v>
      </c>
      <c r="D135" s="58">
        <v>0.2</v>
      </c>
      <c r="E135" s="58">
        <v>0.2</v>
      </c>
      <c r="F135" s="58">
        <v>0.2</v>
      </c>
      <c r="G135" s="58">
        <v>0.2</v>
      </c>
      <c r="H135" s="58">
        <v>0.2</v>
      </c>
      <c r="I135" s="59">
        <v>0.2</v>
      </c>
    </row>
    <row r="136" spans="1:9" x14ac:dyDescent="0.35">
      <c r="A136" s="31" t="s">
        <v>245</v>
      </c>
      <c r="B136" s="58">
        <v>0.6</v>
      </c>
      <c r="C136" s="29">
        <f>ROUND(($E$2*$F$2*$G$2*Средн!$D$22*B136)/100,2)</f>
        <v>0</v>
      </c>
      <c r="D136" s="58">
        <v>0.6</v>
      </c>
      <c r="E136" s="58">
        <v>0.6</v>
      </c>
      <c r="F136" s="58">
        <v>0.5</v>
      </c>
      <c r="G136" s="58">
        <v>0.5</v>
      </c>
      <c r="H136" s="58">
        <v>0.5</v>
      </c>
      <c r="I136" s="59">
        <v>0.6</v>
      </c>
    </row>
    <row r="137" spans="1:9" x14ac:dyDescent="0.35">
      <c r="A137" s="31" t="s">
        <v>246</v>
      </c>
      <c r="B137" s="58">
        <v>2.5</v>
      </c>
      <c r="C137" s="29">
        <f>ROUND(($E$2*$F$2*$G$2*Средн!$D$22*B137)/100,2)</f>
        <v>0</v>
      </c>
      <c r="D137" s="58">
        <v>2.5</v>
      </c>
      <c r="E137" s="58">
        <v>2.2999999999999998</v>
      </c>
      <c r="F137" s="58">
        <v>2.1</v>
      </c>
      <c r="G137" s="58">
        <v>2</v>
      </c>
      <c r="H137" s="58">
        <v>1.7</v>
      </c>
      <c r="I137" s="59">
        <v>2.2999999999999998</v>
      </c>
    </row>
    <row r="138" spans="1:9" x14ac:dyDescent="0.35">
      <c r="A138" s="31" t="s">
        <v>247</v>
      </c>
      <c r="B138" s="58">
        <v>34</v>
      </c>
      <c r="C138" s="29">
        <f>ROUND(($E$2*$F$2*$G$2*Средн!$D$22*B138)/100,2)</f>
        <v>0</v>
      </c>
      <c r="D138" s="58">
        <v>34</v>
      </c>
      <c r="E138" s="58">
        <v>33</v>
      </c>
      <c r="F138" s="58">
        <v>31</v>
      </c>
      <c r="G138" s="58">
        <v>31</v>
      </c>
      <c r="H138" s="58">
        <v>29</v>
      </c>
      <c r="I138" s="59">
        <v>36</v>
      </c>
    </row>
    <row r="139" spans="1:9" x14ac:dyDescent="0.35">
      <c r="A139" s="31" t="s">
        <v>165</v>
      </c>
      <c r="B139" s="58">
        <v>21</v>
      </c>
      <c r="C139" s="29">
        <f>ROUND(($E$2*$F$2*$G$2*Средн!$D$22*B139)/100,2)</f>
        <v>0</v>
      </c>
      <c r="D139" s="58">
        <v>21</v>
      </c>
      <c r="E139" s="58">
        <v>20</v>
      </c>
      <c r="F139" s="58">
        <v>18</v>
      </c>
      <c r="G139" s="58">
        <v>18</v>
      </c>
      <c r="H139" s="58">
        <v>16</v>
      </c>
      <c r="I139" s="59">
        <v>23</v>
      </c>
    </row>
    <row r="140" spans="1:9" x14ac:dyDescent="0.35">
      <c r="A140" s="31" t="s">
        <v>166</v>
      </c>
      <c r="B140" s="58">
        <v>1</v>
      </c>
      <c r="C140" s="29">
        <f>ROUND(($E$2*$F$2*$G$2*Средн!$D$22*B140)/100,2)</f>
        <v>0</v>
      </c>
      <c r="D140" s="58">
        <v>1</v>
      </c>
      <c r="E140" s="58">
        <v>1</v>
      </c>
      <c r="F140" s="58">
        <v>1</v>
      </c>
      <c r="G140" s="58">
        <v>1</v>
      </c>
      <c r="H140" s="58">
        <v>1</v>
      </c>
      <c r="I140" s="59">
        <v>1</v>
      </c>
    </row>
    <row r="141" spans="1:9" x14ac:dyDescent="0.35">
      <c r="A141" s="31" t="s">
        <v>167</v>
      </c>
      <c r="B141" s="58">
        <v>1</v>
      </c>
      <c r="C141" s="29">
        <f>ROUND(($E$2*$F$2*$G$2*Средн!$D$22*B141)/100,2)</f>
        <v>0</v>
      </c>
      <c r="D141" s="58">
        <v>1</v>
      </c>
      <c r="E141" s="58">
        <v>1</v>
      </c>
      <c r="F141" s="58">
        <v>1</v>
      </c>
      <c r="G141" s="58">
        <v>1</v>
      </c>
      <c r="H141" s="58">
        <v>1</v>
      </c>
      <c r="I141" s="59">
        <v>1</v>
      </c>
    </row>
    <row r="142" spans="1:9" x14ac:dyDescent="0.35">
      <c r="A142" s="31" t="s">
        <v>168</v>
      </c>
      <c r="B142" s="58">
        <v>14</v>
      </c>
      <c r="C142" s="29">
        <f>ROUND(($E$2*$F$2*$G$2*Средн!$D$22*B142)/100,2)</f>
        <v>0</v>
      </c>
      <c r="D142" s="58">
        <v>14</v>
      </c>
      <c r="E142" s="58">
        <v>13</v>
      </c>
      <c r="F142" s="58">
        <v>11</v>
      </c>
      <c r="G142" s="58">
        <v>11</v>
      </c>
      <c r="H142" s="58">
        <v>9</v>
      </c>
      <c r="I142" s="59">
        <v>16</v>
      </c>
    </row>
    <row r="143" spans="1:9" x14ac:dyDescent="0.35">
      <c r="A143" s="31" t="s">
        <v>170</v>
      </c>
      <c r="B143" s="58">
        <v>1.1000000000000001</v>
      </c>
      <c r="C143" s="29">
        <f>ROUND(($E$2*$F$2*$G$2*Средн!$D$22*B143)/100,2)</f>
        <v>0</v>
      </c>
      <c r="D143" s="58">
        <v>1.1000000000000001</v>
      </c>
      <c r="E143" s="58">
        <v>1.1000000000000001</v>
      </c>
      <c r="F143" s="58">
        <v>1.1000000000000001</v>
      </c>
      <c r="G143" s="58">
        <v>1.1000000000000001</v>
      </c>
      <c r="H143" s="58">
        <v>1.1000000000000001</v>
      </c>
      <c r="I143" s="59">
        <v>1.1000000000000001</v>
      </c>
    </row>
    <row r="144" spans="1:9" x14ac:dyDescent="0.35">
      <c r="A144" s="31" t="s">
        <v>171</v>
      </c>
      <c r="B144" s="58">
        <v>0.5</v>
      </c>
      <c r="C144" s="29">
        <f>ROUND(($E$2*$F$2*$G$2*Средн!$D$22*B144)/100,2)</f>
        <v>0</v>
      </c>
      <c r="D144" s="58">
        <v>0.5</v>
      </c>
      <c r="E144" s="58">
        <v>0.5</v>
      </c>
      <c r="F144" s="58">
        <v>0.5</v>
      </c>
      <c r="G144" s="58">
        <v>0.5</v>
      </c>
      <c r="H144" s="58">
        <v>0.5</v>
      </c>
      <c r="I144" s="59">
        <v>0.5</v>
      </c>
    </row>
    <row r="145" spans="1:9" x14ac:dyDescent="0.35">
      <c r="A145" s="31" t="s">
        <v>172</v>
      </c>
      <c r="B145" s="58">
        <v>0.5</v>
      </c>
      <c r="C145" s="29">
        <f>ROUND(($E$2*$F$2*$G$2*Средн!$D$22*B145)/100,2)</f>
        <v>0</v>
      </c>
      <c r="D145" s="58">
        <v>0.5</v>
      </c>
      <c r="E145" s="58">
        <v>0.5</v>
      </c>
      <c r="F145" s="58">
        <v>0.5</v>
      </c>
      <c r="G145" s="58">
        <v>0.5</v>
      </c>
      <c r="H145" s="58">
        <v>0.5</v>
      </c>
      <c r="I145" s="59">
        <v>0.5</v>
      </c>
    </row>
    <row r="146" spans="1:9" x14ac:dyDescent="0.35">
      <c r="A146" s="31" t="s">
        <v>248</v>
      </c>
      <c r="B146" s="58">
        <v>0.9</v>
      </c>
      <c r="C146" s="29">
        <f>ROUND(($E$2*$F$2*$G$2*Средн!$D$22*B146)/100,2)</f>
        <v>0</v>
      </c>
      <c r="D146" s="58">
        <v>0.9</v>
      </c>
      <c r="E146" s="58">
        <v>0.9</v>
      </c>
      <c r="F146" s="58">
        <v>0.9</v>
      </c>
      <c r="G146" s="58">
        <v>0.9</v>
      </c>
      <c r="H146" s="58">
        <v>0.9</v>
      </c>
      <c r="I146" s="59">
        <v>0.9</v>
      </c>
    </row>
    <row r="147" spans="1:9" x14ac:dyDescent="0.35">
      <c r="A147" s="31" t="s">
        <v>173</v>
      </c>
      <c r="B147" s="58">
        <v>1.4</v>
      </c>
      <c r="C147" s="29">
        <f>ROUND(($E$2*$F$2*$G$2*Средн!$D$22*B147)/100,2)</f>
        <v>0</v>
      </c>
      <c r="D147" s="58">
        <v>1.4</v>
      </c>
      <c r="E147" s="58">
        <v>1.4</v>
      </c>
      <c r="F147" s="58">
        <v>1.4</v>
      </c>
      <c r="G147" s="58">
        <v>1.4</v>
      </c>
      <c r="H147" s="58">
        <v>1.4</v>
      </c>
      <c r="I147" s="59">
        <v>1.4</v>
      </c>
    </row>
    <row r="148" spans="1:9" x14ac:dyDescent="0.35">
      <c r="A148" s="31" t="s">
        <v>249</v>
      </c>
      <c r="B148" s="58">
        <v>0.8</v>
      </c>
      <c r="C148" s="29">
        <f>ROUND(($E$2*$F$2*$G$2*Средн!$D$22*B148)/100,2)</f>
        <v>0</v>
      </c>
      <c r="D148" s="58">
        <v>0.8</v>
      </c>
      <c r="E148" s="58">
        <v>0.8</v>
      </c>
      <c r="F148" s="58">
        <v>0.8</v>
      </c>
      <c r="G148" s="58">
        <v>0.8</v>
      </c>
      <c r="H148" s="58">
        <v>0.8</v>
      </c>
      <c r="I148" s="59">
        <v>0.8</v>
      </c>
    </row>
    <row r="149" spans="1:9" x14ac:dyDescent="0.35">
      <c r="A149" s="31" t="s">
        <v>208</v>
      </c>
      <c r="B149" s="58">
        <v>0.9</v>
      </c>
      <c r="C149" s="29">
        <f>ROUND(($E$2*$F$2*$G$2*Средн!$D$22*B149)/100,2)</f>
        <v>0</v>
      </c>
      <c r="D149" s="58">
        <v>0.9</v>
      </c>
      <c r="E149" s="58">
        <v>0.9</v>
      </c>
      <c r="F149" s="58">
        <v>0.9</v>
      </c>
      <c r="G149" s="58">
        <v>0.9</v>
      </c>
      <c r="H149" s="58">
        <v>0.9</v>
      </c>
      <c r="I149" s="59">
        <v>0.9</v>
      </c>
    </row>
    <row r="150" spans="1:9" x14ac:dyDescent="0.35">
      <c r="A150" s="31" t="s">
        <v>250</v>
      </c>
      <c r="B150" s="58">
        <v>0.8</v>
      </c>
      <c r="C150" s="29">
        <f>ROUND(($E$2*$F$2*$G$2*Средн!$D$22*B150)/100,2)</f>
        <v>0</v>
      </c>
      <c r="D150" s="58">
        <v>0.8</v>
      </c>
      <c r="E150" s="58">
        <v>0.8</v>
      </c>
      <c r="F150" s="58">
        <v>0.8</v>
      </c>
      <c r="G150" s="58">
        <v>0.8</v>
      </c>
      <c r="H150" s="58">
        <v>0.8</v>
      </c>
      <c r="I150" s="59">
        <v>0.8</v>
      </c>
    </row>
    <row r="151" spans="1:9" x14ac:dyDescent="0.35">
      <c r="A151" s="31" t="s">
        <v>174</v>
      </c>
      <c r="B151" s="58">
        <v>1</v>
      </c>
      <c r="C151" s="29">
        <f>ROUND(($E$2*$F$2*$G$2*Средн!$D$22*B151)/100,2)</f>
        <v>0</v>
      </c>
      <c r="D151" s="58">
        <v>1</v>
      </c>
      <c r="E151" s="58">
        <v>1</v>
      </c>
      <c r="F151" s="58">
        <v>1</v>
      </c>
      <c r="G151" s="58">
        <v>1</v>
      </c>
      <c r="H151" s="58">
        <v>1</v>
      </c>
      <c r="I151" s="59">
        <v>1</v>
      </c>
    </row>
    <row r="152" spans="1:9" x14ac:dyDescent="0.35">
      <c r="A152" s="31" t="s">
        <v>175</v>
      </c>
      <c r="B152" s="58">
        <v>1.2</v>
      </c>
      <c r="C152" s="29">
        <f>ROUND(($E$2*$F$2*$G$2*Средн!$D$22*B152)/100,2)</f>
        <v>0</v>
      </c>
      <c r="D152" s="58">
        <v>1.2</v>
      </c>
      <c r="E152" s="58">
        <v>1.2</v>
      </c>
      <c r="F152" s="58">
        <v>1.2</v>
      </c>
      <c r="G152" s="58">
        <v>1.2</v>
      </c>
      <c r="H152" s="58">
        <v>1.2</v>
      </c>
      <c r="I152" s="59">
        <v>1.2</v>
      </c>
    </row>
    <row r="153" spans="1:9" x14ac:dyDescent="0.35">
      <c r="A153" s="31" t="s">
        <v>251</v>
      </c>
      <c r="B153" s="58">
        <v>1</v>
      </c>
      <c r="C153" s="29">
        <f>ROUND(($E$2*$F$2*$G$2*Средн!$D$22*B153)/100,2)</f>
        <v>0</v>
      </c>
      <c r="D153" s="58">
        <v>1</v>
      </c>
      <c r="E153" s="58">
        <v>1</v>
      </c>
      <c r="F153" s="58">
        <v>1</v>
      </c>
      <c r="G153" s="58">
        <v>1</v>
      </c>
      <c r="H153" s="58">
        <v>1</v>
      </c>
      <c r="I153" s="59">
        <v>1</v>
      </c>
    </row>
    <row r="154" spans="1:9" x14ac:dyDescent="0.35">
      <c r="A154" s="31" t="s">
        <v>177</v>
      </c>
      <c r="B154" s="58">
        <v>2.1</v>
      </c>
      <c r="C154" s="29">
        <f>ROUND(($E$2*$F$2*$G$2*Средн!$D$22*B154)/100,2)</f>
        <v>0</v>
      </c>
      <c r="D154" s="58">
        <v>2.1</v>
      </c>
      <c r="E154" s="58">
        <v>2.1</v>
      </c>
      <c r="F154" s="58">
        <v>2.1</v>
      </c>
      <c r="G154" s="58">
        <v>2.1</v>
      </c>
      <c r="H154" s="58">
        <v>2.1</v>
      </c>
      <c r="I154" s="59">
        <v>2.1</v>
      </c>
    </row>
    <row r="155" spans="1:9" x14ac:dyDescent="0.35">
      <c r="A155" s="31" t="s">
        <v>178</v>
      </c>
      <c r="B155" s="58">
        <v>1.6</v>
      </c>
      <c r="C155" s="29">
        <f>ROUND(($E$2*$F$2*$G$2*Средн!$D$22*B155)/100,2)</f>
        <v>0</v>
      </c>
      <c r="D155" s="58">
        <v>1.6</v>
      </c>
      <c r="E155" s="58">
        <v>1.6</v>
      </c>
      <c r="F155" s="58">
        <v>1.6</v>
      </c>
      <c r="G155" s="58">
        <v>1.6</v>
      </c>
      <c r="H155" s="58">
        <v>1.6</v>
      </c>
      <c r="I155" s="59">
        <v>1.6</v>
      </c>
    </row>
    <row r="156" spans="1:9" x14ac:dyDescent="0.35">
      <c r="A156" s="31" t="s">
        <v>252</v>
      </c>
      <c r="B156" s="58">
        <v>3</v>
      </c>
      <c r="C156" s="29">
        <f>ROUND(($E$2*$F$2*$G$2*Средн!$D$22*B156)/100,2)</f>
        <v>0</v>
      </c>
      <c r="D156" s="58">
        <v>3</v>
      </c>
      <c r="E156" s="58">
        <v>3</v>
      </c>
      <c r="F156" s="58">
        <v>3</v>
      </c>
      <c r="G156" s="58">
        <v>3</v>
      </c>
      <c r="H156" s="58">
        <v>2</v>
      </c>
      <c r="I156" s="59">
        <v>3</v>
      </c>
    </row>
    <row r="157" spans="1:9" x14ac:dyDescent="0.35">
      <c r="A157" s="31" t="s">
        <v>253</v>
      </c>
      <c r="B157" s="58">
        <v>10</v>
      </c>
      <c r="C157" s="29">
        <f>ROUND(($E$2*$F$2*$G$2*Средн!$D$22*B157)/100,2)</f>
        <v>0</v>
      </c>
      <c r="D157" s="58">
        <v>10</v>
      </c>
      <c r="E157" s="58">
        <v>9</v>
      </c>
      <c r="F157" s="58">
        <v>8</v>
      </c>
      <c r="G157" s="58">
        <v>8</v>
      </c>
      <c r="H157" s="58">
        <v>7</v>
      </c>
      <c r="I157" s="59">
        <v>9</v>
      </c>
    </row>
    <row r="158" spans="1:9" x14ac:dyDescent="0.35">
      <c r="A158" s="31" t="s">
        <v>254</v>
      </c>
      <c r="B158" s="58">
        <v>15</v>
      </c>
      <c r="C158" s="29">
        <f>ROUND(($E$2*$F$2*$G$2*Средн!$D$22*B158)/100,2)</f>
        <v>0</v>
      </c>
      <c r="D158" s="58">
        <v>15</v>
      </c>
      <c r="E158" s="58">
        <v>14</v>
      </c>
      <c r="F158" s="58">
        <v>13</v>
      </c>
      <c r="G158" s="58">
        <v>12</v>
      </c>
      <c r="H158" s="58">
        <v>11</v>
      </c>
      <c r="I158" s="59">
        <v>14</v>
      </c>
    </row>
    <row r="159" spans="1:9" x14ac:dyDescent="0.35">
      <c r="A159" s="31" t="s">
        <v>188</v>
      </c>
      <c r="B159" s="58">
        <v>3</v>
      </c>
      <c r="C159" s="29">
        <f>ROUND(($E$2*$F$2*$G$2*Средн!$D$22*B159)/100,2)</f>
        <v>0</v>
      </c>
      <c r="D159" s="58">
        <v>3</v>
      </c>
      <c r="E159" s="58">
        <v>3</v>
      </c>
      <c r="F159" s="58">
        <v>3</v>
      </c>
      <c r="G159" s="58">
        <v>3</v>
      </c>
      <c r="H159" s="58">
        <v>3</v>
      </c>
      <c r="I159" s="59">
        <v>3</v>
      </c>
    </row>
    <row r="160" spans="1:9" x14ac:dyDescent="0.35">
      <c r="A160" s="31" t="s">
        <v>189</v>
      </c>
      <c r="B160" s="58">
        <v>0.5</v>
      </c>
      <c r="C160" s="29">
        <f>ROUND(($E$2*$F$2*$G$2*Средн!$D$22*B160)/100,2)</f>
        <v>0</v>
      </c>
      <c r="D160" s="58">
        <v>0.5</v>
      </c>
      <c r="E160" s="58">
        <v>0.5</v>
      </c>
      <c r="F160" s="58">
        <v>0.5</v>
      </c>
      <c r="G160" s="58">
        <v>0.5</v>
      </c>
      <c r="H160" s="58">
        <v>0.5</v>
      </c>
      <c r="I160" s="59">
        <v>0.5</v>
      </c>
    </row>
    <row r="161" spans="1:9" x14ac:dyDescent="0.35">
      <c r="A161" s="31" t="s">
        <v>190</v>
      </c>
      <c r="B161" s="58">
        <v>1</v>
      </c>
      <c r="C161" s="29">
        <f>ROUND(($E$2*$F$2*$G$2*Средн!$D$22*B161)/100,2)</f>
        <v>0</v>
      </c>
      <c r="D161" s="58">
        <v>1</v>
      </c>
      <c r="E161" s="58">
        <v>1</v>
      </c>
      <c r="F161" s="58">
        <v>1</v>
      </c>
      <c r="G161" s="58">
        <v>1</v>
      </c>
      <c r="H161" s="58">
        <v>1</v>
      </c>
      <c r="I161" s="59">
        <v>1</v>
      </c>
    </row>
    <row r="162" spans="1:9" x14ac:dyDescent="0.35">
      <c r="A162" s="31" t="s">
        <v>76</v>
      </c>
      <c r="B162" s="58">
        <v>1.2</v>
      </c>
      <c r="C162" s="29">
        <f>ROUND(($E$2*$F$2*$G$2*Средн!$D$22*B162)/100,2)</f>
        <v>0</v>
      </c>
      <c r="D162" s="58">
        <v>1.2</v>
      </c>
      <c r="E162" s="58">
        <v>1.2</v>
      </c>
      <c r="F162" s="58">
        <v>1.2</v>
      </c>
      <c r="G162" s="58">
        <v>1.2</v>
      </c>
      <c r="H162" s="58">
        <v>1.2</v>
      </c>
      <c r="I162" s="59">
        <v>1.2</v>
      </c>
    </row>
    <row r="163" spans="1:9" x14ac:dyDescent="0.35">
      <c r="A163" s="31" t="s">
        <v>191</v>
      </c>
      <c r="B163" s="58">
        <v>0.3</v>
      </c>
      <c r="C163" s="29">
        <f>ROUND(($E$2*$F$2*$G$2*Средн!$D$22*B163)/100,2)</f>
        <v>0</v>
      </c>
      <c r="D163" s="58">
        <v>0.3</v>
      </c>
      <c r="E163" s="58">
        <v>0.3</v>
      </c>
      <c r="F163" s="58">
        <v>0.3</v>
      </c>
      <c r="G163" s="58">
        <v>0.3</v>
      </c>
      <c r="H163" s="58">
        <v>0.3</v>
      </c>
      <c r="I163" s="59">
        <v>0.3</v>
      </c>
    </row>
    <row r="164" spans="1:9" x14ac:dyDescent="0.35">
      <c r="A164" s="31" t="s">
        <v>255</v>
      </c>
      <c r="B164" s="58">
        <v>0.1</v>
      </c>
      <c r="C164" s="29">
        <f>ROUND(($E$2*$F$2*$G$2*Средн!$D$22*B164)/100,2)</f>
        <v>0</v>
      </c>
      <c r="D164" s="58">
        <v>0.1</v>
      </c>
      <c r="E164" s="58">
        <v>0.1</v>
      </c>
      <c r="F164" s="58">
        <v>0.1</v>
      </c>
      <c r="G164" s="58">
        <v>0.1</v>
      </c>
      <c r="H164" s="58">
        <v>0.1</v>
      </c>
      <c r="I164" s="59">
        <v>0.1</v>
      </c>
    </row>
    <row r="165" spans="1:9" x14ac:dyDescent="0.35">
      <c r="A165" s="31" t="s">
        <v>193</v>
      </c>
      <c r="B165" s="58">
        <v>3</v>
      </c>
      <c r="C165" s="29">
        <f>ROUND(($E$2*$F$2*$G$2*Средн!$D$22*B165)/100,2)</f>
        <v>0</v>
      </c>
      <c r="D165" s="58">
        <v>3</v>
      </c>
      <c r="E165" s="58">
        <v>3</v>
      </c>
      <c r="F165" s="58">
        <v>3</v>
      </c>
      <c r="G165" s="58">
        <v>3</v>
      </c>
      <c r="H165" s="58">
        <v>2</v>
      </c>
      <c r="I165" s="59">
        <v>3</v>
      </c>
    </row>
    <row r="166" spans="1:9" x14ac:dyDescent="0.35">
      <c r="A166" s="31" t="s">
        <v>256</v>
      </c>
      <c r="B166" s="58">
        <v>5</v>
      </c>
      <c r="C166" s="29">
        <f>ROUND(($E$2*$F$2*$G$2*Средн!$D$22*B166)/100,2)</f>
        <v>0</v>
      </c>
      <c r="D166" s="58">
        <v>5</v>
      </c>
      <c r="E166" s="58">
        <v>9</v>
      </c>
      <c r="F166" s="58">
        <v>14</v>
      </c>
      <c r="G166" s="58">
        <v>16</v>
      </c>
      <c r="H166" s="58">
        <v>24</v>
      </c>
      <c r="I166" s="59">
        <v>3</v>
      </c>
    </row>
    <row r="167" spans="1:9" x14ac:dyDescent="0.35">
      <c r="A167" s="31" t="s">
        <v>77</v>
      </c>
      <c r="B167" s="58">
        <v>3</v>
      </c>
      <c r="C167" s="29">
        <f>ROUND(($E$2*$F$2*$G$2*Средн!$D$22*B167)/100,2)</f>
        <v>0</v>
      </c>
      <c r="D167" s="59" t="s">
        <v>257</v>
      </c>
      <c r="E167" s="59" t="s">
        <v>257</v>
      </c>
      <c r="F167" s="59" t="s">
        <v>257</v>
      </c>
      <c r="G167" s="59" t="s">
        <v>257</v>
      </c>
      <c r="H167" s="59" t="s">
        <v>257</v>
      </c>
      <c r="I167" s="59" t="s">
        <v>257</v>
      </c>
    </row>
    <row r="168" spans="1:9" x14ac:dyDescent="0.35">
      <c r="A168" s="28" t="s">
        <v>258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4" t="s">
        <v>57</v>
      </c>
      <c r="B1" s="73" t="s">
        <v>58</v>
      </c>
      <c r="C1" s="73" t="s">
        <v>59</v>
      </c>
      <c r="D1" s="73" t="s">
        <v>60</v>
      </c>
      <c r="E1" s="73" t="s">
        <v>61</v>
      </c>
      <c r="F1" s="73" t="s">
        <v>62</v>
      </c>
    </row>
    <row r="2" spans="1:6" ht="15.5" x14ac:dyDescent="0.35">
      <c r="A2" s="64" t="s">
        <v>63</v>
      </c>
      <c r="B2" s="65">
        <v>43831</v>
      </c>
      <c r="C2" s="65">
        <v>43831</v>
      </c>
      <c r="D2" s="65">
        <v>43831</v>
      </c>
      <c r="E2" s="65">
        <v>43831</v>
      </c>
      <c r="F2" s="65">
        <v>43831</v>
      </c>
    </row>
    <row r="3" spans="1:6" ht="15.5" x14ac:dyDescent="0.35">
      <c r="A3" s="64" t="s">
        <v>278</v>
      </c>
      <c r="B3" s="66" t="s">
        <v>65</v>
      </c>
      <c r="C3" s="67" t="s">
        <v>112</v>
      </c>
      <c r="D3" s="67" t="s">
        <v>112</v>
      </c>
      <c r="E3" s="67" t="s">
        <v>112</v>
      </c>
      <c r="F3" s="67" t="s">
        <v>112</v>
      </c>
    </row>
    <row r="4" spans="1:6" ht="15.5" x14ac:dyDescent="0.35">
      <c r="A4" s="64" t="s">
        <v>281</v>
      </c>
      <c r="B4" s="66" t="str">
        <f>Дано!B17</f>
        <v>Subaru Outback</v>
      </c>
      <c r="C4" s="66" t="str">
        <f>$B$4</f>
        <v>Subaru Outback</v>
      </c>
      <c r="D4" s="66" t="str">
        <f t="shared" ref="D4:F4" si="0">$B$4</f>
        <v>Subaru Outback</v>
      </c>
      <c r="E4" s="66" t="str">
        <f t="shared" si="0"/>
        <v>Subaru Outback</v>
      </c>
      <c r="F4" s="66" t="str">
        <f t="shared" si="0"/>
        <v>Subaru Outback</v>
      </c>
    </row>
    <row r="5" spans="1:6" ht="15.5" x14ac:dyDescent="0.35">
      <c r="A5" s="64" t="s">
        <v>66</v>
      </c>
      <c r="B5" s="66" t="str">
        <f>Дано!B22</f>
        <v>2088</v>
      </c>
      <c r="C5" s="66" t="str">
        <f>$B$5</f>
        <v>2088</v>
      </c>
      <c r="D5" s="66" t="str">
        <f t="shared" ref="D5:F5" si="1">$B$5</f>
        <v>2088</v>
      </c>
      <c r="E5" s="66" t="str">
        <f t="shared" si="1"/>
        <v>2088</v>
      </c>
      <c r="F5" s="66" t="str">
        <f t="shared" si="1"/>
        <v>2088</v>
      </c>
    </row>
    <row r="6" spans="1:6" ht="77.5" x14ac:dyDescent="0.35">
      <c r="A6" s="64" t="s">
        <v>64</v>
      </c>
      <c r="B6" s="66" t="s">
        <v>312</v>
      </c>
      <c r="C6" s="66" t="s">
        <v>312</v>
      </c>
      <c r="D6" s="66" t="s">
        <v>312</v>
      </c>
      <c r="E6" s="66" t="s">
        <v>312</v>
      </c>
      <c r="F6" s="66" t="s">
        <v>312</v>
      </c>
    </row>
    <row r="7" spans="1:6" ht="15" x14ac:dyDescent="0.35">
      <c r="A7" s="211" t="s">
        <v>280</v>
      </c>
      <c r="B7" s="211"/>
      <c r="C7" s="72">
        <v>0</v>
      </c>
      <c r="D7" s="72">
        <v>0</v>
      </c>
      <c r="E7" s="72">
        <v>0</v>
      </c>
      <c r="F7" s="72">
        <v>0</v>
      </c>
    </row>
    <row r="8" spans="1:6" s="68" customFormat="1" ht="15" x14ac:dyDescent="0.35">
      <c r="A8" s="212" t="s">
        <v>68</v>
      </c>
      <c r="B8" s="213"/>
      <c r="C8" s="73" t="s">
        <v>59</v>
      </c>
      <c r="D8" s="73" t="s">
        <v>60</v>
      </c>
      <c r="E8" s="73" t="s">
        <v>61</v>
      </c>
      <c r="F8" s="73" t="s">
        <v>62</v>
      </c>
    </row>
    <row r="9" spans="1:6" s="71" customFormat="1" ht="15" x14ac:dyDescent="0.35">
      <c r="A9" s="211" t="s">
        <v>283</v>
      </c>
      <c r="B9" s="211"/>
      <c r="C9" s="70">
        <v>1</v>
      </c>
      <c r="D9" s="70">
        <v>1</v>
      </c>
      <c r="E9" s="70">
        <v>1</v>
      </c>
      <c r="F9" s="70">
        <v>1</v>
      </c>
    </row>
    <row r="10" spans="1:6" s="68" customFormat="1" ht="15.5" x14ac:dyDescent="0.35">
      <c r="A10" s="214" t="s">
        <v>69</v>
      </c>
      <c r="B10" s="214"/>
      <c r="C10" s="69">
        <f>C7*C9</f>
        <v>0</v>
      </c>
      <c r="D10" s="69">
        <f>D7*D9</f>
        <v>0</v>
      </c>
      <c r="E10" s="69">
        <f>E7*E9</f>
        <v>0</v>
      </c>
      <c r="F10" s="69">
        <f>F7*F9</f>
        <v>0</v>
      </c>
    </row>
    <row r="11" spans="1:6" s="71" customFormat="1" ht="15" x14ac:dyDescent="0.35">
      <c r="A11" s="211" t="s">
        <v>70</v>
      </c>
      <c r="B11" s="211"/>
      <c r="C11" s="70">
        <v>1</v>
      </c>
      <c r="D11" s="70">
        <v>1</v>
      </c>
      <c r="E11" s="70">
        <v>1</v>
      </c>
      <c r="F11" s="70">
        <v>1</v>
      </c>
    </row>
    <row r="12" spans="1:6" s="68" customFormat="1" ht="15.5" x14ac:dyDescent="0.35">
      <c r="A12" s="214" t="s">
        <v>69</v>
      </c>
      <c r="B12" s="214"/>
      <c r="C12" s="69">
        <f>C10*C11</f>
        <v>0</v>
      </c>
      <c r="D12" s="69">
        <f t="shared" ref="D12:F12" si="2">D10*D11</f>
        <v>0</v>
      </c>
      <c r="E12" s="69">
        <f t="shared" si="2"/>
        <v>0</v>
      </c>
      <c r="F12" s="69">
        <f t="shared" si="2"/>
        <v>0</v>
      </c>
    </row>
    <row r="13" spans="1:6" s="71" customFormat="1" ht="15" x14ac:dyDescent="0.35">
      <c r="A13" s="211" t="s">
        <v>279</v>
      </c>
      <c r="B13" s="211"/>
      <c r="C13" s="70">
        <v>1</v>
      </c>
      <c r="D13" s="70">
        <v>1</v>
      </c>
      <c r="E13" s="70">
        <v>1</v>
      </c>
      <c r="F13" s="70">
        <v>1</v>
      </c>
    </row>
    <row r="14" spans="1:6" s="68" customFormat="1" ht="15.5" x14ac:dyDescent="0.35">
      <c r="A14" s="214" t="s">
        <v>69</v>
      </c>
      <c r="B14" s="214"/>
      <c r="C14" s="69">
        <f>C12*C13</f>
        <v>0</v>
      </c>
      <c r="D14" s="69">
        <f t="shared" ref="D14:F14" si="3">D12*D13</f>
        <v>0</v>
      </c>
      <c r="E14" s="69">
        <f t="shared" si="3"/>
        <v>0</v>
      </c>
      <c r="F14" s="69">
        <f t="shared" si="3"/>
        <v>0</v>
      </c>
    </row>
    <row r="15" spans="1:6" s="71" customFormat="1" ht="15" x14ac:dyDescent="0.35">
      <c r="A15" s="211" t="s">
        <v>282</v>
      </c>
      <c r="B15" s="211"/>
      <c r="C15" s="70">
        <v>1</v>
      </c>
      <c r="D15" s="70">
        <v>1</v>
      </c>
      <c r="E15" s="70">
        <v>1</v>
      </c>
      <c r="F15" s="70">
        <v>1</v>
      </c>
    </row>
    <row r="16" spans="1:6" s="68" customFormat="1" ht="15.5" x14ac:dyDescent="0.35">
      <c r="A16" s="214" t="s">
        <v>69</v>
      </c>
      <c r="B16" s="214"/>
      <c r="C16" s="69">
        <f>C14*C15</f>
        <v>0</v>
      </c>
      <c r="D16" s="69">
        <f t="shared" ref="D16:F16" si="4">D14*D15</f>
        <v>0</v>
      </c>
      <c r="E16" s="69">
        <f t="shared" si="4"/>
        <v>0</v>
      </c>
      <c r="F16" s="69">
        <f t="shared" si="4"/>
        <v>0</v>
      </c>
    </row>
    <row r="17" spans="1:6" s="71" customFormat="1" ht="15" x14ac:dyDescent="0.35">
      <c r="A17" s="211" t="s">
        <v>313</v>
      </c>
      <c r="B17" s="211"/>
      <c r="C17" s="70">
        <v>1</v>
      </c>
      <c r="D17" s="70">
        <v>1</v>
      </c>
      <c r="E17" s="70">
        <v>1</v>
      </c>
      <c r="F17" s="70">
        <v>1</v>
      </c>
    </row>
    <row r="18" spans="1:6" s="68" customFormat="1" ht="15.5" x14ac:dyDescent="0.35">
      <c r="A18" s="214" t="s">
        <v>69</v>
      </c>
      <c r="B18" s="214"/>
      <c r="C18" s="69">
        <f>C16*C17</f>
        <v>0</v>
      </c>
      <c r="D18" s="69">
        <f t="shared" ref="D18:F18" si="5">D16*D17</f>
        <v>0</v>
      </c>
      <c r="E18" s="69">
        <f t="shared" si="5"/>
        <v>0</v>
      </c>
      <c r="F18" s="69">
        <f t="shared" si="5"/>
        <v>0</v>
      </c>
    </row>
    <row r="19" spans="1:6" s="71" customFormat="1" ht="15.75" customHeight="1" x14ac:dyDescent="0.35">
      <c r="A19" s="211" t="s">
        <v>71</v>
      </c>
      <c r="B19" s="211"/>
      <c r="C19" s="70">
        <v>1</v>
      </c>
      <c r="D19" s="70">
        <v>1</v>
      </c>
      <c r="E19" s="70">
        <v>1</v>
      </c>
      <c r="F19" s="70">
        <v>1</v>
      </c>
    </row>
    <row r="20" spans="1:6" s="68" customFormat="1" ht="15.5" x14ac:dyDescent="0.35">
      <c r="A20" s="214" t="s">
        <v>69</v>
      </c>
      <c r="B20" s="214"/>
      <c r="C20" s="69">
        <f>C18*C19</f>
        <v>0</v>
      </c>
      <c r="D20" s="69">
        <f t="shared" ref="D20:F20" si="6">D18*D19</f>
        <v>0</v>
      </c>
      <c r="E20" s="69">
        <f t="shared" si="6"/>
        <v>0</v>
      </c>
      <c r="F20" s="69">
        <f t="shared" si="6"/>
        <v>0</v>
      </c>
    </row>
    <row r="21" spans="1:6" ht="15" x14ac:dyDescent="0.35">
      <c r="A21" s="216" t="s">
        <v>72</v>
      </c>
      <c r="B21" s="216"/>
      <c r="C21" s="215">
        <f>ROUND(AVERAGE(C20:F20),-2)</f>
        <v>0</v>
      </c>
      <c r="D21" s="215"/>
      <c r="E21" s="215"/>
      <c r="F21" s="215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C21:F21"/>
    <mergeCell ref="A17:B17"/>
    <mergeCell ref="A18:B18"/>
    <mergeCell ref="A19:B19"/>
    <mergeCell ref="A20:B20"/>
    <mergeCell ref="A21:B21"/>
    <mergeCell ref="A12:B12"/>
    <mergeCell ref="A13:B13"/>
    <mergeCell ref="A14:B14"/>
    <mergeCell ref="A15:B15"/>
    <mergeCell ref="A16:B16"/>
    <mergeCell ref="A11:B11"/>
    <mergeCell ref="A7:B7"/>
    <mergeCell ref="A8:B8"/>
    <mergeCell ref="A9:B9"/>
    <mergeCell ref="A10:B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2020-07-05T17:28:52Z</dcterms:modified>
</cp:coreProperties>
</file>